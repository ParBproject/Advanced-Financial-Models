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ation" sheetId="1" state="visible" r:id="rId3"/>
    <sheet name="Cash Flow Model" sheetId="2" state="visible" r:id="rId4"/>
    <sheet name="Loan Risk Model" sheetId="3" state="visible" r:id="rId5"/>
    <sheet name="Portfolio Allo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<sst xmlns="http://schemas.openxmlformats.org/spreadsheetml/2006/main" count="312" uniqueCount="297">
  <si>
    <t xml:space="preserve">Advanced Financial Modeling &amp; Forecasting - User Guide</t>
  </si>
  <si>
    <t xml:space="preserve">Project Overview</t>
  </si>
  <si>
    <t xml:space="preserve">This workbook contains three interconnected financial models demonstrating advanced Excel techniques:</t>
  </si>
  <si>
    <t xml:space="preserve">1. CASH FLOW MODEL - Dynamic 12-month cash flow forecast with scenario analysis</t>
  </si>
  <si>
    <t xml:space="preserve">2. LOAN RISK MODEL - Credit risk assessment with probability of default and expected loss calculations</t>
  </si>
  <si>
    <t xml:space="preserve">3. PORTFOLIO ALLOCATION MODEL - Investment portfolio optimization with risk-return analysis</t>
  </si>
  <si>
    <t xml:space="preserve">Color Coding Standards (Industry Best Practice)</t>
  </si>
  <si>
    <t xml:space="preserve">• BLUE TEXT = User Inputs (change these for different scenarios)</t>
  </si>
  <si>
    <t xml:space="preserve">• BLACK TEXT = Formulas and calculations</t>
  </si>
  <si>
    <t xml:space="preserve">• GREEN TEXT = Links from other sheets in this workbook</t>
  </si>
  <si>
    <t xml:space="preserve">• YELLOW BACKGROUND = Key assumptions requiring attention</t>
  </si>
  <si>
    <t xml:space="preserve">Model 1: Cash Flow Model</t>
  </si>
  <si>
    <t xml:space="preserve">Purpose: Forecast monthly cash position for a hypothetical company</t>
  </si>
  <si>
    <t xml:space="preserve">Key Features:</t>
  </si>
  <si>
    <t xml:space="preserve">  • Monthly revenue projections with growth assumptions</t>
  </si>
  <si>
    <t xml:space="preserve">  • Operating expense tracking (salaries, rent, utilities, marketing)</t>
  </si>
  <si>
    <t xml:space="preserve">  • Loan repayment schedule</t>
  </si>
  <si>
    <t xml:space="preserve">  • Capital expenditure planning</t>
  </si>
  <si>
    <t xml:space="preserve">  • Conditional formatting highlighting cash shortages (red) and healthy balances (green)</t>
  </si>
  <si>
    <t xml:space="preserve">  • Dynamic chart showing ending cash balance trend</t>
  </si>
  <si>
    <t xml:space="preserve">How to Use: Modify BLUE inputs in rows 5-10 to test different scenarios</t>
  </si>
  <si>
    <t xml:space="preserve">Key Metrics: NPV of monthly net cash flows at the monthly equivalent of the annual discount rate</t>
  </si>
  <si>
    <t xml:space="preserve">Model 2: Loan Risk Model</t>
  </si>
  <si>
    <t xml:space="preserve">Purpose: Assess credit risk across a portfolio of loans</t>
  </si>
  <si>
    <t xml:space="preserve">  • 50 sample loans with varying credit characteristics</t>
  </si>
  <si>
    <t xml:space="preserve">  • Credit score-based risk categorization</t>
  </si>
  <si>
    <t xml:space="preserve">  • Probability of Default (PD) calculation based on credit score</t>
  </si>
  <si>
    <t xml:space="preserve">  • Loss Given Default (LGD) assumptions</t>
  </si>
  <si>
    <t xml:space="preserve">  • Expected Loss (EL) = Exposure × PD × LGD</t>
  </si>
  <si>
    <t xml:space="preserve">  • Portfolio summary of exposure, expected loss, and risk-rating counts</t>
  </si>
  <si>
    <t xml:space="preserve">  • What-If analysis for different LGD scenarios</t>
  </si>
  <si>
    <t xml:space="preserve">How to Use: Adjust default rate assumptions (blue cells) to see impact on expected losses</t>
  </si>
  <si>
    <t xml:space="preserve">Key Insights: Summary dashboard shows risk distribution and total portfolio exposure</t>
  </si>
  <si>
    <t xml:space="preserve">Model 3: Portfolio Allocation Model</t>
  </si>
  <si>
    <t xml:space="preserve">Purpose: Optimize investment portfolio allocation across asset classes</t>
  </si>
  <si>
    <t xml:space="preserve">  • 6 asset classes (Large Cap, Small Cap, International, Bonds, Real Estate, Commodities)</t>
  </si>
  <si>
    <t xml:space="preserve">  • Historical return and volatility (standard deviation) data</t>
  </si>
  <si>
    <t xml:space="preserve">  • Dynamic allocation percentages (must sum to 100%)</t>
  </si>
  <si>
    <t xml:space="preserve">  • Portfolio expected return calculation</t>
  </si>
  <si>
    <t xml:space="preserve">  • Portfolio risk (weighted standard deviation)</t>
  </si>
  <si>
    <t xml:space="preserve">  • Sharpe Ratio for risk-adjusted returns</t>
  </si>
  <si>
    <t xml:space="preserve">  • Scenario analysis: Conservative, Balanced, Aggressive</t>
  </si>
  <si>
    <t xml:space="preserve">  • Visual dashboard with pie chart and performance comparison</t>
  </si>
  <si>
    <t xml:space="preserve">How to Use: Modify allocation percentages (blue cells) to create custom portfolios</t>
  </si>
  <si>
    <t xml:space="preserve">Advanced: Use Excel Solver to optimize for maximum return or minimum risk</t>
  </si>
  <si>
    <t xml:space="preserve">Key Assumptions &amp; Methodology</t>
  </si>
  <si>
    <t xml:space="preserve">Cash Flow Model:</t>
  </si>
  <si>
    <t xml:space="preserve">  • Discount rate: 10% for NPV calculation</t>
  </si>
  <si>
    <t xml:space="preserve">  • Revenue growth: 5% monthly</t>
  </si>
  <si>
    <t xml:space="preserve">  • Operating expenses based on % of revenue</t>
  </si>
  <si>
    <t xml:space="preserve">Loan Risk Model:</t>
  </si>
  <si>
    <t xml:space="preserve">  • Credit scores: 300-850 range (US standard)</t>
  </si>
  <si>
    <t xml:space="preserve">  • Default rates: Higher for lower credit scores</t>
  </si>
  <si>
    <t xml:space="preserve">  • LGD assumption: 45% (adjustable)</t>
  </si>
  <si>
    <t xml:space="preserve">Portfolio Allocation:</t>
  </si>
  <si>
    <t xml:space="preserve">  • Returns based on historical 20-year averages</t>
  </si>
  <si>
    <t xml:space="preserve">  • Risk-free rate: 3% for Sharpe Ratio</t>
  </si>
  <si>
    <t xml:space="preserve">  • Simplified correlation (real portfolios need covariance matrix)</t>
  </si>
  <si>
    <t xml:space="preserve">Advanced Excel Techniques Demonstrated</t>
  </si>
  <si>
    <t xml:space="preserve">✓ Dynamic formulas: SUMIFS, XLOOKUP, NPV, IRR, STDEV</t>
  </si>
  <si>
    <t xml:space="preserve">✓ Conditional formatting with formulas</t>
  </si>
  <si>
    <t xml:space="preserve">✓ Data validation and dropdown lists</t>
  </si>
  <si>
    <t xml:space="preserve">✓ What-If Analysis: Scenario Manager capabilities</t>
  </si>
  <si>
    <t xml:space="preserve">✓ Pivot Tables for data summarization</t>
  </si>
  <si>
    <t xml:space="preserve">✓ Charts: Line, Pie, and Bar charts with dynamic data</t>
  </si>
  <si>
    <t xml:space="preserve">✓ Structured tables for dynamic referencing</t>
  </si>
  <si>
    <t xml:space="preserve">✓ Professional financial modeling standards</t>
  </si>
  <si>
    <t xml:space="preserve">CASH FLOW FORECAST MODEL</t>
  </si>
  <si>
    <t xml:space="preserve">12-Month Dynamic Projection</t>
  </si>
  <si>
    <t xml:space="preserve">KEY ASSUMPTIONS</t>
  </si>
  <si>
    <t xml:space="preserve">Starting Cash Balance</t>
  </si>
  <si>
    <t xml:space="preserve">(Input)</t>
  </si>
  <si>
    <t xml:space="preserve">Monthly Revenue (Month 1)</t>
  </si>
  <si>
    <t xml:space="preserve">Revenue Growth Rate</t>
  </si>
  <si>
    <t xml:space="preserve">Operating Expense % of Revenue</t>
  </si>
  <si>
    <t xml:space="preserve">Monthly Loan Payment</t>
  </si>
  <si>
    <t xml:space="preserve">Discount Rate (for NPV)</t>
  </si>
  <si>
    <t xml:space="preserve">Item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</si>
  <si>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</si>
  <si>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</si>
  <si>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</si>
  <si>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</si>
  <si>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</si>
  <si>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</si>
  <si>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</si>
  <si>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</si>
  <si>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</si>
  <si>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</si>
  <si>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</si>
  <si>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</si>
  <si>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</si>
  <si>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</si>
  <si>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</si>
  <si>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</si>
  <si>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</si>
  <si>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</si>
  <si>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</si>
  <si>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</si>
  <si>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</si>
  <si>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</si>
  <si>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</si>
  <si>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</si>
  <si>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Beginning Cash</t>
  </si>
  <si>
    <t xml:space="preserve">CASH INFLOWS</t>
  </si>
  <si>
    <t xml:space="preserve">Revenue</t>
  </si>
  <si>
    <t xml:space="preserve">Total Inflows</t>
  </si>
  <si>
    <t xml:space="preserve">CASH OUTFLOWS</t>
  </si>
  <si>
    <t xml:space="preserve">Operating Expenses</t>
  </si>
  <si>
    <t xml:space="preserve">  Salaries (memo, inside OpEx)</t>
  </si>
  <si>
    <t xml:space="preserve">  Rent</t>
  </si>
  <si>
    <t xml:space="preserve">  Marketing (memo, not deducted)</t>
  </si>
  <si>
    <t xml:space="preserve">Loan Payment</t>
  </si>
  <si>
    <t xml:space="preserve">Capital Expenditures</t>
  </si>
  <si>
    <t xml:space="preserve">Total Outflows</t>
  </si>
  <si>
    <t xml:space="preserve">Net Cash Flow</t>
  </si>
  <si>
    <t xml:space="preserve">Ending Cash Balance</t>
  </si>
  <si>
    <t xml:space="preserve">KEY METRICS</t>
  </si>
  <si>
    <t xml:space="preserve">NPV of Cash Flows</t>
  </si>
  <si>
    <t xml:space="preserve">(monthly equivalent rate, end of each month)</t>
  </si>
  <si>
    <t xml:space="preserve">Average Monthly Net Cash Flow</t>
  </si>
  <si>
    <t xml:space="preserve">Minimum Cash Balance</t>
  </si>
  <si>
    <t xml:space="preserve">Maximum Cash Balance</t>
  </si>
  <si>
    <t xml:space="preserve">LOAN RISK ASSESSMENT MODEL</t>
  </si>
  <si>
    <t xml:space="preserve">Credit Risk Analysis &amp; Expected Loss Calculation</t>
  </si>
  <si>
    <t xml:space="preserve">RISK PARAMETERS</t>
  </si>
  <si>
    <t xml:space="preserve">CREDIT SCORE TO DEFAULT RATE MAPPING</t>
  </si>
  <si>
    <t xml:space="preserve">Loss Given Default (LGD)</t>
  </si>
  <si>
    <t xml:space="preserve">Credit Score Range</t>
  </si>
  <si>
    <t xml:space="preserve">Default Rate</t>
  </si>
  <si>
    <t xml:space="preserve">Risk Rating</t>
  </si>
  <si>
    <t xml:space="preserve">Risk-Free Rate</t>
  </si>
  <si>
    <t xml:space="preserve">(reference only; not used in expected loss)</t>
  </si>
  <si>
    <t xml:space="preserve">800-850</t>
  </si>
  <si>
    <t xml:space="preserve">Low</t>
  </si>
  <si>
    <t xml:space="preserve">750-799</t>
  </si>
  <si>
    <t xml:space="preserve">700-749</t>
  </si>
  <si>
    <t xml:space="preserve">650-699</t>
  </si>
  <si>
    <t xml:space="preserve">Medium</t>
  </si>
  <si>
    <t xml:space="preserve">600-649</t>
  </si>
  <si>
    <t xml:space="preserve">550-599</t>
  </si>
  <si>
    <t xml:space="preserve">High</t>
  </si>
  <si>
    <t xml:space="preserve">500-549</t>
  </si>
  <si>
    <t xml:space="preserve">&lt;500</t>
  </si>
  <si>
    <t xml:space="preserve">Loan ID</t>
  </si>
  <si>
    <t xml:space="preserve">Borrower</t>
  </si>
  <si>
    <t xml:space="preserve">Loan Amount</t>
  </si>
  <si>
    <t xml:space="preserve">Credit Score</t>
  </si>
  <si>
    <t xml:space="preserve">Default Rate (PD)</t>
  </si>
  <si>
    <t xml:space="preserve">LGD</t>
  </si>
  <si>
    <t xml:space="preserve">Exposure at Default</t>
  </si>
  <si>
    <t xml:space="preserve">Expected Loss (EL)</t>
  </si>
  <si>
    <t xml:space="preserve">L1001</t>
  </si>
  <si>
    <t xml:space="preserve">Anderson</t>
  </si>
  <si>
    <t xml:space="preserve">L1002</t>
  </si>
  <si>
    <t xml:space="preserve">Baker</t>
  </si>
  <si>
    <t xml:space="preserve">L1003</t>
  </si>
  <si>
    <t xml:space="preserve">Chen</t>
  </si>
  <si>
    <t xml:space="preserve">L1004</t>
  </si>
  <si>
    <t xml:space="preserve">Davis</t>
  </si>
  <si>
    <t xml:space="preserve">L1005</t>
  </si>
  <si>
    <t xml:space="preserve">Evans</t>
  </si>
  <si>
    <t xml:space="preserve">L1006</t>
  </si>
  <si>
    <t xml:space="preserve">Fisher</t>
  </si>
  <si>
    <t xml:space="preserve">L1007</t>
  </si>
  <si>
    <t xml:space="preserve">Garcia</t>
  </si>
  <si>
    <t xml:space="preserve">L1008</t>
  </si>
  <si>
    <t xml:space="preserve">Harris</t>
  </si>
  <si>
    <t xml:space="preserve">L1009</t>
  </si>
  <si>
    <t xml:space="preserve">Johnson</t>
  </si>
  <si>
    <t xml:space="preserve">L1010</t>
  </si>
  <si>
    <t xml:space="preserve">Kim</t>
  </si>
  <si>
    <t xml:space="preserve">L1011</t>
  </si>
  <si>
    <t xml:space="preserve">Lopez</t>
  </si>
  <si>
    <t xml:space="preserve">L1012</t>
  </si>
  <si>
    <t xml:space="preserve">Miller</t>
  </si>
  <si>
    <t xml:space="preserve">L1013</t>
  </si>
  <si>
    <t xml:space="preserve">Nelson</t>
  </si>
  <si>
    <t xml:space="preserve">L1014</t>
  </si>
  <si>
    <t xml:space="preserve">O'Brien</t>
  </si>
  <si>
    <t xml:space="preserve">L1015</t>
  </si>
  <si>
    <t xml:space="preserve">Parker</t>
  </si>
  <si>
    <t xml:space="preserve">L1016</t>
  </si>
  <si>
    <t xml:space="preserve">Quinn</t>
  </si>
  <si>
    <t xml:space="preserve">L1017</t>
  </si>
  <si>
    <t xml:space="preserve">Robinson</t>
  </si>
  <si>
    <t xml:space="preserve">L1018</t>
  </si>
  <si>
    <t xml:space="preserve">Smith</t>
  </si>
  <si>
    <t xml:space="preserve">L1019</t>
  </si>
  <si>
    <t xml:space="preserve">Taylor</t>
  </si>
  <si>
    <t xml:space="preserve">L1020</t>
  </si>
  <si>
    <t xml:space="preserve">Wilson</t>
  </si>
  <si>
    <t xml:space="preserve">L1021</t>
  </si>
  <si>
    <t xml:space="preserve">Adams</t>
  </si>
  <si>
    <t xml:space="preserve">L1022</t>
  </si>
  <si>
    <t xml:space="preserve">Brown</t>
  </si>
  <si>
    <t xml:space="preserve">L1023</t>
  </si>
  <si>
    <t xml:space="preserve">Clark</t>
  </si>
  <si>
    <t xml:space="preserve">L1024</t>
  </si>
  <si>
    <t xml:space="preserve">Dixon</t>
  </si>
  <si>
    <t xml:space="preserve">L1025</t>
  </si>
  <si>
    <t xml:space="preserve">Edwards</t>
  </si>
  <si>
    <t xml:space="preserve">L1026</t>
  </si>
  <si>
    <t xml:space="preserve">Ford</t>
  </si>
  <si>
    <t xml:space="preserve">L1027</t>
  </si>
  <si>
    <t xml:space="preserve">Green</t>
  </si>
  <si>
    <t xml:space="preserve">L1028</t>
  </si>
  <si>
    <t xml:space="preserve">Hill</t>
  </si>
  <si>
    <t xml:space="preserve">L1029</t>
  </si>
  <si>
    <t xml:space="preserve">Irwin</t>
  </si>
  <si>
    <t xml:space="preserve">L1030</t>
  </si>
  <si>
    <t xml:space="preserve">Jackson</t>
  </si>
  <si>
    <t xml:space="preserve">L1031</t>
  </si>
  <si>
    <t xml:space="preserve">King</t>
  </si>
  <si>
    <t xml:space="preserve">L1032</t>
  </si>
  <si>
    <t xml:space="preserve">Lee</t>
  </si>
  <si>
    <t xml:space="preserve">L1033</t>
  </si>
  <si>
    <t xml:space="preserve">Martinez</t>
  </si>
  <si>
    <t xml:space="preserve">L1034</t>
  </si>
  <si>
    <t xml:space="preserve">Moore</t>
  </si>
  <si>
    <t xml:space="preserve">L1035</t>
  </si>
  <si>
    <t xml:space="preserve">Norton</t>
  </si>
  <si>
    <t xml:space="preserve">L1036</t>
  </si>
  <si>
    <t xml:space="preserve">Oliver</t>
  </si>
  <si>
    <t xml:space="preserve">L1037</t>
  </si>
  <si>
    <t xml:space="preserve">Peterson</t>
  </si>
  <si>
    <t xml:space="preserve">L1038</t>
  </si>
  <si>
    <t xml:space="preserve">Rogers</t>
  </si>
  <si>
    <t xml:space="preserve">L1039</t>
  </si>
  <si>
    <t xml:space="preserve">Stewart</t>
  </si>
  <si>
    <t xml:space="preserve">L1040</t>
  </si>
  <si>
    <t xml:space="preserve">Thomas</t>
  </si>
  <si>
    <t xml:space="preserve">L1041</t>
  </si>
  <si>
    <t xml:space="preserve">Turner</t>
  </si>
  <si>
    <t xml:space="preserve">L1042</t>
  </si>
  <si>
    <t xml:space="preserve">Underwood</t>
  </si>
  <si>
    <t xml:space="preserve">L1043</t>
  </si>
  <si>
    <t xml:space="preserve">Vincent</t>
  </si>
  <si>
    <t xml:space="preserve">L1044</t>
  </si>
  <si>
    <t xml:space="preserve">White</t>
  </si>
  <si>
    <t xml:space="preserve">L1045</t>
  </si>
  <si>
    <t xml:space="preserve">Young</t>
  </si>
  <si>
    <t xml:space="preserve">L1046</t>
  </si>
  <si>
    <t xml:space="preserve">Zhang</t>
  </si>
  <si>
    <t xml:space="preserve">L1047</t>
  </si>
  <si>
    <t xml:space="preserve">Allen</t>
  </si>
  <si>
    <t xml:space="preserve">L1048</t>
  </si>
  <si>
    <t xml:space="preserve">Bell</t>
  </si>
  <si>
    <t xml:space="preserve">L1049</t>
  </si>
  <si>
    <t xml:space="preserve">Carter</t>
  </si>
  <si>
    <t xml:space="preserve">L1050</t>
  </si>
  <si>
    <t xml:space="preserve">Douglas</t>
  </si>
  <si>
    <t xml:space="preserve">PORTFOLIO SUMMARY</t>
  </si>
  <si>
    <t xml:space="preserve">Total Loans</t>
  </si>
  <si>
    <t xml:space="preserve">Total Exposure</t>
  </si>
  <si>
    <t xml:space="preserve">Total Expected Loss</t>
  </si>
  <si>
    <t xml:space="preserve">Expected Loss %</t>
  </si>
  <si>
    <t xml:space="preserve">High Risk Loans</t>
  </si>
  <si>
    <t xml:space="preserve">Medium Risk Loans</t>
  </si>
  <si>
    <t xml:space="preserve">Low Risk Loans</t>
  </si>
  <si>
    <t xml:space="preserve">Average Credit Score</t>
  </si>
  <si>
    <t xml:space="preserve">PORTFOLIO ALLOCATION &amp; OPTIMIZATION MODEL</t>
  </si>
  <si>
    <t xml:space="preserve">Investment Portfolio Risk-Return Analysis</t>
  </si>
  <si>
    <t xml:space="preserve">PORTFOLIO PARAMETERS</t>
  </si>
  <si>
    <t xml:space="preserve">Total Investment Amount</t>
  </si>
  <si>
    <t xml:space="preserve">Investment Horizon (Years)</t>
  </si>
  <si>
    <t xml:space="preserve">Asset Class</t>
  </si>
  <si>
    <t xml:space="preserve">Expected Return</t>
  </si>
  <si>
    <t xml:space="preserve">Risk (Std Dev)</t>
  </si>
  <si>
    <t xml:space="preserve">Allocation %</t>
  </si>
  <si>
    <t xml:space="preserve">Investment Amount</t>
  </si>
  <si>
    <t xml:space="preserve">Expected Return $</t>
  </si>
  <si>
    <t xml:space="preserve">Large Cap Stocks</t>
  </si>
  <si>
    <t xml:space="preserve">Small Cap Stocks</t>
  </si>
  <si>
    <t xml:space="preserve">International Stocks</t>
  </si>
  <si>
    <t xml:space="preserve">Bonds</t>
  </si>
  <si>
    <t xml:space="preserve">Real Estate</t>
  </si>
  <si>
    <t xml:space="preserve">Commodities</t>
  </si>
  <si>
    <t xml:space="preserve">TOTAL</t>
  </si>
  <si>
    <t xml:space="preserve">PORTFOLIO METRICS</t>
  </si>
  <si>
    <t xml:space="preserve">Portfolio Expected Return</t>
  </si>
  <si>
    <t xml:space="preserve">Portfolio Risk (Zero Correlation)</t>
  </si>
  <si>
    <t xml:space="preserve">Sharpe Ratio</t>
  </si>
  <si>
    <t xml:space="preserve">Expected Portfolio Value (10Y)</t>
  </si>
  <si>
    <t xml:space="preserve">Expected Total Return (10Y)</t>
  </si>
  <si>
    <t xml:space="preserve">SCENARIO ANALYSIS</t>
  </si>
  <si>
    <t xml:space="preserve">Scenario</t>
  </si>
  <si>
    <t xml:space="preserve">Large Cap</t>
  </si>
  <si>
    <t xml:space="preserve">Small Cap</t>
  </si>
  <si>
    <t xml:space="preserve">Intl</t>
  </si>
  <si>
    <t xml:space="preserve">RE</t>
  </si>
  <si>
    <t xml:space="preserve">Comm</t>
  </si>
  <si>
    <t xml:space="preserve">Return</t>
  </si>
  <si>
    <t xml:space="preserve">Risk</t>
  </si>
  <si>
    <t xml:space="preserve">Sharpe</t>
  </si>
  <si>
    <t xml:space="preserve">Conservative</t>
  </si>
  <si>
    <t xml:space="preserve">Balanced</t>
  </si>
  <si>
    <t xml:space="preserve">Aggressive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</si>
</sst>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\$#,##0;&quot;($&quot;#,##0\);\-"/>
    <numFmt numFmtId="168" formatCode="#,##0"/>
    <numFmt numFmtId="169" formatCode="0.00%"/>
    <numFmt numFmtId="170" formatCode="0"/>
    <numFmt numFmtId="171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26FA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3C992"/>
      <rgbColor rgb="FF878787"/>
      <rgbColor rgb="FF8EA5CA"/>
      <rgbColor rgb="FFAA433F"/>
      <rgbColor rgb="FFF9F9F9"/>
      <rgbColor rgb="FFD9E1F2"/>
      <rgbColor rgb="FF660066"/>
      <rgbColor rgb="FFCC8F8E"/>
      <rgbColor rgb="FF426FA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CBFD2"/>
      <rgbColor rgb="FFF5B089"/>
      <rgbColor rgb="FF8064A2"/>
      <rgbColor rgb="FFFFC7CE"/>
      <rgbColor rgb="FF4472C4"/>
      <rgbColor rgb="FF4BACC6"/>
      <rgbColor rgb="FF9BBB59"/>
      <rgbColor rgb="FFFFCC00"/>
      <rgbColor rgb="FFF79646"/>
      <rgbColor rgb="FFDB8238"/>
      <rgbColor rgb="FF6F568D"/>
      <rgbColor rgb="FFA596B9"/>
      <rgbColor rgb="FF003366"/>
      <rgbColor rgb="FF3D97AF"/>
      <rgbColor rgb="FF003300"/>
      <rgbColor rgb="FF333300"/>
      <rgbColor rgb="FF993300"/>
      <rgbColor rgb="FFC0504D"/>
      <rgbColor rgb="FF1F4E78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Cash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Model'!$B$28</c:f>
              <c:numCache>
                <c:formatCode>\$#,##0;"($"#,##0\);\-</c:formatCode>
                <c:ptCount val="1"/>
                <c:pt idx="0">
                  <c:v>77000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Model'!$C$28</c:f>
              <c:numCache>
                <c:formatCode>\$#,##0;"($"#,##0\);\-</c:formatCode>
                <c:ptCount val="1"/>
                <c:pt idx="0">
                  <c:v>91000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Model'!$D$28</c:f>
              <c:numCache>
                <c:formatCode>\$#,##0;"($"#,##0\);\-</c:formatCode>
                <c:ptCount val="1"/>
                <c:pt idx="0">
                  <c:v>122100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Model'!$E$28</c:f>
              <c:numCache>
                <c:formatCode>\$#,##0;"($"#,##0\);\-</c:formatCode>
                <c:ptCount val="1"/>
                <c:pt idx="0">
                  <c:v>155405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Model'!$F$28</c:f>
              <c:numCache>
                <c:formatCode>\$#,##0;"($"#,##0\);\-</c:formatCode>
                <c:ptCount val="1"/>
                <c:pt idx="0">
                  <c:v>176025.25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Model'!$G$28</c:f>
              <c:numCache>
                <c:formatCode>\$#,##0;"($"#,##0\);\-</c:formatCode>
                <c:ptCount val="1"/>
                <c:pt idx="0">
                  <c:v>214076.5125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Model'!$H$28</c:f>
              <c:numCache>
                <c:formatCode>\$#,##0;"($"#,##0\);\-</c:formatCode>
                <c:ptCount val="1"/>
                <c:pt idx="0">
                  <c:v>254680.338125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Model'!$I$28</c:f>
              <c:numCache>
                <c:formatCode>\$#,##0;"($"#,##0\);\-</c:formatCode>
                <c:ptCount val="1"/>
                <c:pt idx="0">
                  <c:v>297964.35503125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Model'!$J$28</c:f>
              <c:numCache>
                <c:formatCode>\$#,##0;"($"#,##0\);\-</c:formatCode>
                <c:ptCount val="1"/>
                <c:pt idx="0">
                  <c:v>329062.572782813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Model'!$K$28</c:f>
              <c:numCache>
                <c:formatCode>\$#,##0;"($"#,##0\);\-</c:formatCode>
                <c:ptCount val="1"/>
                <c:pt idx="0">
                  <c:v>378115.701421953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Model'!$L$28</c:f>
              <c:numCache>
                <c:formatCode>\$#,##0;"($"#,##0\);\-</c:formatCode>
                <c:ptCount val="1"/>
                <c:pt idx="0">
                  <c:v>430271.486493051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Model'!$B$14:$M$14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Model'!$M$28</c:f>
              <c:numCache>
                <c:formatCode>\$#,##0;"($"#,##0\);\-</c:formatCode>
                <c:ptCount val="1"/>
                <c:pt idx="0">
                  <c:v>485685.060817703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796083"/>
        <c:axId val="32446351"/>
      </c:lineChart>
      <c:catAx>
        <c:axId val="90796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6351"/>
        <c:crosses val="autoZero"/>
        <c:auto val="1"/>
        <c:lblAlgn val="ctr"/>
        <c:lblOffset val="100"/>
        <c:noMultiLvlLbl val="0"/>
      </c:catAx>
      <c:valAx>
        <c:axId val="32446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Cash 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96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Distribution by Risk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'Loan Risk Model'!$A$74:$A$76</c:f>
              <c:strCache>
                <c:ptCount val="3"/>
                <c:pt idx="0">
                  <c:v>High Risk Loans</c:v>
                </c:pt>
                <c:pt idx="1">
                  <c:v>Medium Risk Loans</c:v>
                </c:pt>
                <c:pt idx="2">
                  <c:v>Low Risk Loans</c:v>
                </c:pt>
              </c:strCache>
            </c:strRef>
          </c:cat>
          <c:val>
            <c:numRef>
              <c:f>'Loan Risk Model'!$B$74:$B$76</c:f>
              <c:numCache>
                <c:formatCode>General</c:formatCode>
                <c:ptCount val="3"/>
                <c:pt idx="0">
                  <c:v>26</c:v>
                </c:pt>
                <c:pt idx="1">
                  <c:v>10</c:v>
                </c:pt>
                <c:pt idx="2">
                  <c:v>14</c:v>
                </c:pt>
              </c:numCache>
            </c:numRef>
          </c:val>
        </c:ser>
        <c:gapWidth val="150"/>
        <c:overlap val="0"/>
        <c:axId val="82727897"/>
        <c:axId val="81374468"/>
      </c:barChart>
      <c:catAx>
        <c:axId val="827278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74468"/>
        <c:crosses val="autoZero"/>
        <c:auto val="1"/>
        <c:lblAlgn val="ctr"/>
        <c:lblOffset val="100"/>
        <c:noMultiLvlLbl val="0"/>
      </c:catAx>
      <c:valAx>
        <c:axId val="81374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27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'Portfolio Allocation'!$A$11:$A$16</c:f>
              <c:strCache>
                <c:ptCount val="6"/>
                <c:pt idx="0">
                  <c:v>Large Cap Stocks</c:v>
                </c:pt>
                <c:pt idx="1">
                  <c:v>Small Cap Stocks</c:v>
                </c:pt>
                <c:pt idx="2">
                  <c:v>International Stocks</c:v>
                </c:pt>
                <c:pt idx="3">
                  <c:v>Bonds</c:v>
                </c:pt>
                <c:pt idx="4">
                  <c:v>Real Estate</c:v>
                </c:pt>
                <c:pt idx="5">
                  <c:v>Commodities</c:v>
                </c:pt>
              </c:strCache>
            </c:strRef>
          </c:cat>
          <c:val>
            <c:numRef>
              <c:f>'Portfolio Allocation'!$D$11:$D$16</c:f>
              <c:numCache>
                <c:formatCode>0.0%</c:formatCode>
                <c:ptCount val="6"/>
                <c:pt idx="0">
                  <c:v>0.35</c:v>
                </c:pt>
                <c:pt idx="1">
                  <c:v>0.15</c:v>
                </c:pt>
                <c:pt idx="2">
                  <c:v>0.15</c:v>
                </c:pt>
                <c:pt idx="3">
                  <c:v>0.25</c:v>
                </c:pt>
                <c:pt idx="4">
                  <c:v>0.07</c:v>
                </c:pt>
                <c:pt idx="5">
                  <c:v>0.03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vs Risk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'Portfolio Allocation'!H27</c:f>
              <c:strCache>
                <c:ptCount val="1"/>
                <c:pt idx="0">
                  <c:v>Return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Allocation'!$A$28:$A$30</c:f>
              <c:strCache>
                <c:ptCount val="3"/>
                <c:pt idx="0">
                  <c:v>Conservative</c:v>
                </c:pt>
                <c:pt idx="1">
                  <c:v>Balanced</c:v>
                </c:pt>
                <c:pt idx="2">
                  <c:v>Aggressive</c:v>
                </c:pt>
              </c:strCache>
            </c:strRef>
          </c:cat>
          <c:val>
            <c:numRef>
              <c:f>'Portfolio Allocation'!$H$28:$H$30</c:f>
              <c:numCache>
                <c:formatCode>0.00%</c:formatCode>
                <c:ptCount val="3"/>
                <c:pt idx="0">
                  <c:v>0.071</c:v>
                </c:pt>
                <c:pt idx="1">
                  <c:v>0.0839</c:v>
                </c:pt>
                <c:pt idx="2">
                  <c:v>0.0991</c:v>
                </c:pt>
              </c:numCache>
            </c:numRef>
          </c:val>
        </c:ser>
        <c:gapWidth val="150"/>
        <c:overlap val="0"/>
        <c:axId val="19351611"/>
        <c:axId val="82212191"/>
      </c:barChart>
      <c:catAx>
        <c:axId val="193516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12191"/>
        <c:crosses val="autoZero"/>
        <c:auto val="1"/>
        <c:lblAlgn val="ctr"/>
        <c:lblOffset val="100"/>
        <c:noMultiLvlLbl val="0"/>
      </c:catAx>
      <c:valAx>
        <c:axId val="82212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516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29</xdr:row>
      <xdr:rowOff>160560</xdr:rowOff>
    </xdr:from>
    <xdr:to>
      <xdr:col>10</xdr:col>
      <xdr:colOff>323640</xdr:colOff>
      <xdr:row>44</xdr:row>
      <xdr:rowOff>1800</xdr:rowOff>
    </xdr:to>
    <xdr:graphicFrame>
      <xdr:nvGraphicFramePr>
        <xdr:cNvPr id="0" name="Chart 1"/>
        <xdr:cNvGraphicFramePr/>
      </xdr:nvGraphicFramePr>
      <xdr:xfrm>
        <a:off x="4880520" y="5713560"/>
        <a:ext cx="608436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67</xdr:row>
      <xdr:rowOff>160560</xdr:rowOff>
    </xdr:from>
    <xdr:to>
      <xdr:col>8</xdr:col>
      <xdr:colOff>253440</xdr:colOff>
      <xdr:row>82</xdr:row>
      <xdr:rowOff>1440</xdr:rowOff>
    </xdr:to>
    <xdr:graphicFrame>
      <xdr:nvGraphicFramePr>
        <xdr:cNvPr id="1" name="Chart 1"/>
        <xdr:cNvGraphicFramePr/>
      </xdr:nvGraphicFramePr>
      <xdr:xfrm>
        <a:off x="3600360" y="12952800"/>
        <a:ext cx="609444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160920</xdr:rowOff>
    </xdr:from>
    <xdr:to>
      <xdr:col>15</xdr:col>
      <xdr:colOff>506520</xdr:colOff>
      <xdr:row>23</xdr:row>
      <xdr:rowOff>1800</xdr:rowOff>
    </xdr:to>
    <xdr:graphicFrame>
      <xdr:nvGraphicFramePr>
        <xdr:cNvPr id="2" name="Chart 1"/>
        <xdr:cNvGraphicFramePr/>
      </xdr:nvGraphicFramePr>
      <xdr:xfrm>
        <a:off x="8775720" y="1713600"/>
        <a:ext cx="606420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160560</xdr:rowOff>
    </xdr:from>
    <xdr:to>
      <xdr:col>15</xdr:col>
      <xdr:colOff>506520</xdr:colOff>
      <xdr:row>46</xdr:row>
      <xdr:rowOff>1440</xdr:rowOff>
    </xdr:to>
    <xdr:graphicFrame>
      <xdr:nvGraphicFramePr>
        <xdr:cNvPr id="3" name="Chart 2"/>
        <xdr:cNvGraphicFramePr/>
      </xdr:nvGraphicFramePr>
      <xdr:xfrm>
        <a:off x="8775720" y="6094800"/>
        <a:ext cx="606420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3" customFormat="false" ht="17.2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6" customFormat="false" ht="15" hidden="false" customHeight="true" outlineLevel="0" collapsed="false">
      <c r="A6" s="1" t="s">
        <v>3</v>
      </c>
    </row>
    <row r="7" customFormat="false" ht="15" hidden="false" customHeight="true" outlineLevel="0" collapsed="false">
      <c r="A7" s="1" t="s">
        <v>4</v>
      </c>
    </row>
    <row r="8" customFormat="false" ht="15" hidden="false" customHeight="true" outlineLevel="0" collapsed="false">
      <c r="A8" s="1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1" t="s">
        <v>7</v>
      </c>
    </row>
    <row r="12" customFormat="false" ht="15" hidden="false" customHeight="true" outlineLevel="0" collapsed="false">
      <c r="A12" s="1" t="s">
        <v>8</v>
      </c>
    </row>
    <row r="13" customFormat="false" ht="15" hidden="false" customHeight="true" outlineLevel="0" collapsed="false">
      <c r="A13" s="1" t="s">
        <v>9</v>
      </c>
    </row>
    <row r="14" customFormat="false" ht="15" hidden="false" customHeight="true" outlineLevel="0" collapsed="false">
      <c r="A14" s="1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1" t="s">
        <v>12</v>
      </c>
    </row>
    <row r="18" customFormat="false" ht="15" hidden="false" customHeight="true" outlineLevel="0" collapsed="false">
      <c r="A18" s="1" t="s">
        <v>13</v>
      </c>
    </row>
    <row r="19" customFormat="false" ht="15" hidden="false" customHeight="true" outlineLevel="0" collapsed="false">
      <c r="A19" s="1" t="s">
        <v>14</v>
      </c>
    </row>
    <row r="20" customFormat="false" ht="15" hidden="false" customHeight="true" outlineLevel="0" collapsed="false">
      <c r="A20" s="1" t="s">
        <v>15</v>
      </c>
    </row>
    <row r="21" customFormat="false" ht="15" hidden="false" customHeight="true" outlineLevel="0" collapsed="false">
      <c r="A21" s="1" t="s">
        <v>16</v>
      </c>
    </row>
    <row r="22" customFormat="false" ht="15" hidden="false" customHeight="true" outlineLevel="0" collapsed="false">
      <c r="A22" s="1" t="s">
        <v>17</v>
      </c>
    </row>
    <row r="23" customFormat="false" ht="15" hidden="false" customHeight="true" outlineLevel="0" collapsed="false">
      <c r="A23" s="1" t="s">
        <v>18</v>
      </c>
    </row>
    <row r="24" customFormat="false" ht="15" hidden="false" customHeight="true" outlineLevel="0" collapsed="false">
      <c r="A24" s="1" t="s">
        <v>19</v>
      </c>
    </row>
    <row r="25" customFormat="false" ht="15" hidden="false" customHeight="true" outlineLevel="0" collapsed="false">
      <c r="A25" s="1" t="s">
        <v>20</v>
      </c>
    </row>
    <row r="26" customFormat="false" ht="15" hidden="false" customHeight="true" outlineLevel="0" collapsed="false">
      <c r="A26" s="1" t="s">
        <v>21</v>
      </c>
    </row>
    <row r="28" customFormat="false" ht="15" hidden="false" customHeight="true" outlineLevel="0" collapsed="false">
      <c r="A28" s="4" t="s">
        <v>22</v>
      </c>
    </row>
    <row r="29" customFormat="false" ht="15" hidden="false" customHeight="true" outlineLevel="0" collapsed="false">
      <c r="A29" s="1" t="s">
        <v>23</v>
      </c>
    </row>
    <row r="30" customFormat="false" ht="15" hidden="false" customHeight="true" outlineLevel="0" collapsed="false">
      <c r="A30" s="1" t="s">
        <v>13</v>
      </c>
    </row>
    <row r="31" customFormat="false" ht="15" hidden="false" customHeight="true" outlineLevel="0" collapsed="false">
      <c r="A31" s="1" t="s">
        <v>24</v>
      </c>
    </row>
    <row r="32" customFormat="false" ht="15" hidden="false" customHeight="true" outlineLevel="0" collapsed="false">
      <c r="A32" s="1" t="s">
        <v>25</v>
      </c>
    </row>
    <row r="33" customFormat="false" ht="15" hidden="false" customHeight="true" outlineLevel="0" collapsed="false">
      <c r="A33" s="1" t="s">
        <v>26</v>
      </c>
    </row>
    <row r="34" customFormat="false" ht="15" hidden="false" customHeight="true" outlineLevel="0" collapsed="false">
      <c r="A34" s="1" t="s">
        <v>27</v>
      </c>
    </row>
    <row r="35" customFormat="false" ht="15" hidden="false" customHeight="true" outlineLevel="0" collapsed="false">
      <c r="A35" s="1" t="s">
        <v>28</v>
      </c>
    </row>
    <row r="36" customFormat="false" ht="15" hidden="false" customHeight="true" outlineLevel="0" collapsed="false">
      <c r="A36" s="1" t="s">
        <v>29</v>
      </c>
    </row>
    <row r="37" customFormat="false" ht="15" hidden="false" customHeight="true" outlineLevel="0" collapsed="false">
      <c r="A37" s="1" t="s">
        <v>30</v>
      </c>
    </row>
    <row r="38" customFormat="false" ht="15" hidden="false" customHeight="true" outlineLevel="0" collapsed="false">
      <c r="A38" s="1" t="s">
        <v>31</v>
      </c>
    </row>
    <row r="39" customFormat="false" ht="15" hidden="false" customHeight="true" outlineLevel="0" collapsed="false">
      <c r="A39" s="1" t="s">
        <v>32</v>
      </c>
    </row>
    <row r="41" customFormat="false" ht="15" hidden="false" customHeight="true" outlineLevel="0" collapsed="false">
      <c r="A41" s="4" t="s">
        <v>33</v>
      </c>
    </row>
    <row r="42" customFormat="false" ht="15" hidden="false" customHeight="true" outlineLevel="0" collapsed="false">
      <c r="A42" s="1" t="s">
        <v>34</v>
      </c>
    </row>
    <row r="43" customFormat="false" ht="15" hidden="false" customHeight="true" outlineLevel="0" collapsed="false">
      <c r="A43" s="1" t="s">
        <v>13</v>
      </c>
    </row>
    <row r="44" customFormat="false" ht="15" hidden="false" customHeight="true" outlineLevel="0" collapsed="false">
      <c r="A44" s="1" t="s">
        <v>35</v>
      </c>
    </row>
    <row r="45" customFormat="false" ht="15" hidden="false" customHeight="true" outlineLevel="0" collapsed="false">
      <c r="A45" s="1" t="s">
        <v>36</v>
      </c>
    </row>
    <row r="46" customFormat="false" ht="15" hidden="false" customHeight="true" outlineLevel="0" collapsed="false">
      <c r="A46" s="1" t="s">
        <v>37</v>
      </c>
    </row>
    <row r="47" customFormat="false" ht="15" hidden="false" customHeight="true" outlineLevel="0" collapsed="false">
      <c r="A47" s="1" t="s">
        <v>38</v>
      </c>
    </row>
    <row r="48" customFormat="false" ht="15" hidden="false" customHeight="true" outlineLevel="0" collapsed="false">
      <c r="A48" s="1" t="s">
        <v>39</v>
      </c>
    </row>
    <row r="49" customFormat="false" ht="15" hidden="false" customHeight="true" outlineLevel="0" collapsed="false">
      <c r="A49" s="1" t="s">
        <v>40</v>
      </c>
    </row>
    <row r="50" customFormat="false" ht="15" hidden="false" customHeight="true" outlineLevel="0" collapsed="false">
      <c r="A50" s="1" t="s">
        <v>41</v>
      </c>
    </row>
    <row r="51" customFormat="false" ht="15" hidden="false" customHeight="true" outlineLevel="0" collapsed="false">
      <c r="A51" s="1" t="s">
        <v>42</v>
      </c>
    </row>
    <row r="52" customFormat="false" ht="15" hidden="false" customHeight="true" outlineLevel="0" collapsed="false">
      <c r="A52" s="1" t="s">
        <v>43</v>
      </c>
    </row>
    <row r="53" customFormat="false" ht="15" hidden="false" customHeight="true" outlineLevel="0" collapsed="false">
      <c r="A53" s="1" t="s">
        <v>44</v>
      </c>
    </row>
    <row r="55" customFormat="false" ht="15" hidden="false" customHeight="true" outlineLevel="0" collapsed="false">
      <c r="A55" s="4" t="s">
        <v>45</v>
      </c>
    </row>
    <row r="56" customFormat="false" ht="15" hidden="false" customHeight="true" outlineLevel="0" collapsed="false">
      <c r="A56" s="1" t="s">
        <v>46</v>
      </c>
    </row>
    <row r="57" customFormat="false" ht="15" hidden="false" customHeight="true" outlineLevel="0" collapsed="false">
      <c r="A57" s="1" t="s">
        <v>47</v>
      </c>
    </row>
    <row r="58" customFormat="false" ht="15" hidden="false" customHeight="true" outlineLevel="0" collapsed="false">
      <c r="A58" s="1" t="s">
        <v>48</v>
      </c>
    </row>
    <row r="59" customFormat="false" ht="15" hidden="false" customHeight="true" outlineLevel="0" collapsed="false">
      <c r="A59" s="1" t="s">
        <v>49</v>
      </c>
    </row>
    <row r="60" customFormat="false" ht="15" hidden="false" customHeight="true" outlineLevel="0" collapsed="false">
      <c r="A60" s="1" t="s">
        <v>50</v>
      </c>
    </row>
    <row r="61" customFormat="false" ht="15" hidden="false" customHeight="true" outlineLevel="0" collapsed="false">
      <c r="A61" s="1" t="s">
        <v>51</v>
      </c>
    </row>
    <row r="62" customFormat="false" ht="15" hidden="false" customHeight="true" outlineLevel="0" collapsed="false">
      <c r="A62" s="1" t="s">
        <v>52</v>
      </c>
    </row>
    <row r="63" customFormat="false" ht="15" hidden="false" customHeight="true" outlineLevel="0" collapsed="false">
      <c r="A63" s="1" t="s">
        <v>53</v>
      </c>
    </row>
    <row r="64" customFormat="false" ht="15" hidden="false" customHeight="true" outlineLevel="0" collapsed="false">
      <c r="A64" s="1" t="s">
        <v>54</v>
      </c>
    </row>
    <row r="65" customFormat="false" ht="15" hidden="false" customHeight="true" outlineLevel="0" collapsed="false">
      <c r="A65" s="1" t="s">
        <v>55</v>
      </c>
    </row>
    <row r="66" customFormat="false" ht="15" hidden="false" customHeight="true" outlineLevel="0" collapsed="false">
      <c r="A66" s="1" t="s">
        <v>56</v>
      </c>
    </row>
    <row r="67" customFormat="false" ht="15" hidden="false" customHeight="true" outlineLevel="0" collapsed="false">
      <c r="A67" s="1" t="s">
        <v>57</v>
      </c>
    </row>
    <row r="69" customFormat="false" ht="15" hidden="false" customHeight="true" outlineLevel="0" collapsed="false">
      <c r="A69" s="4" t="s">
        <v>58</v>
      </c>
    </row>
    <row r="70" customFormat="false" ht="15" hidden="false" customHeight="true" outlineLevel="0" collapsed="false">
      <c r="A70" s="1" t="s">
        <v>59</v>
      </c>
    </row>
    <row r="71" customFormat="false" ht="15" hidden="false" customHeight="true" outlineLevel="0" collapsed="false">
      <c r="A71" s="1" t="s">
        <v>60</v>
      </c>
    </row>
    <row r="72" customFormat="false" ht="15" hidden="false" customHeight="true" outlineLevel="0" collapsed="false">
      <c r="A72" s="1" t="s">
        <v>61</v>
      </c>
    </row>
    <row r="73" customFormat="false" ht="15" hidden="false" customHeight="true" outlineLevel="0" collapsed="false">
      <c r="A73" s="1" t="s">
        <v>62</v>
      </c>
    </row>
    <row r="74" customFormat="false" ht="15" hidden="false" customHeight="true" outlineLevel="0" collapsed="false">
      <c r="A74" s="1" t="s">
        <v>63</v>
      </c>
    </row>
    <row r="75" customFormat="false" ht="15" hidden="false" customHeight="true" outlineLevel="0" collapsed="false">
      <c r="A75" s="1" t="s">
        <v>64</v>
      </c>
    </row>
    <row r="76" customFormat="false" ht="15" hidden="false" customHeight="true" outlineLevel="0" collapsed="false">
      <c r="A76" s="1" t="s">
        <v>65</v>
      </c>
    </row>
    <row r="77" customFormat="false" ht="15" hidden="false" customHeight="true" outlineLevel="0" collapsed="false">
      <c r="A77" s="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13" min="2" style="1" width="12"/>
  </cols>
  <sheetData>
    <row r="1" customFormat="false" ht="17.25" hidden="false" customHeight="true" outlineLevel="0" collapsed="false">
      <c r="A1" s="5" t="s">
        <v>67</v>
      </c>
    </row>
    <row r="2" customFormat="false" ht="15" hidden="false" customHeight="true" outlineLevel="0" collapsed="false">
      <c r="A2" s="6" t="s">
        <v>68</v>
      </c>
    </row>
    <row r="4" customFormat="false" ht="15" hidden="false" customHeight="true" outlineLevel="0" collapsed="false">
      <c r="A4" s="7" t="s">
        <v>69</v>
      </c>
    </row>
    <row r="5" customFormat="false" ht="15" hidden="false" customHeight="true" outlineLevel="0" collapsed="false">
      <c r="A5" s="1" t="s">
        <v>70</v>
      </c>
      <c r="B5" s="8" t="n">
        <v>50000</v>
      </c>
      <c r="C5" s="9" t="s">
        <v>71</v>
      </c>
    </row>
    <row r="6" customFormat="false" ht="15" hidden="false" customHeight="true" outlineLevel="0" collapsed="false">
      <c r="A6" s="1" t="s">
        <v>72</v>
      </c>
      <c r="B6" s="8" t="n">
        <v>100000</v>
      </c>
      <c r="C6" s="9" t="s">
        <v>71</v>
      </c>
    </row>
    <row r="7" customFormat="false" ht="15" hidden="false" customHeight="true" outlineLevel="0" collapsed="false">
      <c r="A7" s="1" t="s">
        <v>73</v>
      </c>
      <c r="B7" s="10" t="n">
        <v>0.05</v>
      </c>
      <c r="C7" s="9" t="s">
        <v>71</v>
      </c>
    </row>
    <row r="8" customFormat="false" ht="15" hidden="false" customHeight="true" outlineLevel="0" collapsed="false">
      <c r="A8" s="1" t="s">
        <v>74</v>
      </c>
      <c r="B8" s="11" t="n">
        <v>0.6</v>
      </c>
      <c r="C8" s="9" t="s">
        <v>71</v>
      </c>
    </row>
    <row r="9" customFormat="false" ht="15" hidden="false" customHeight="true" outlineLevel="0" collapsed="false">
      <c r="A9" s="1" t="s">
        <v>75</v>
      </c>
      <c r="B9" s="8" t="n">
        <v>5000</v>
      </c>
      <c r="C9" s="9" t="s">
        <v>71</v>
      </c>
    </row>
    <row r="10" customFormat="false" ht="15" hidden="false" customHeight="true" outlineLevel="0" collapsed="false">
      <c r="A10" s="1" t="s">
        <v>76</v>
      </c>
      <c r="B10" s="10" t="n">
        <v>0.1</v>
      </c>
      <c r="C10" s="9" t="s">
        <v>71</v>
      </c>
    </row>
    <row r="13" customFormat="false" ht="15" hidden="false" customHeight="true" outlineLevel="0" collapsed="false">
      <c r="A13" s="12" t="s">
        <v>77</v>
      </c>
      <c r="B13" s="13" t="s">
        <v>78</v>
      </c>
      <c r="C13" s="13" t="s">
        <v>79</v>
      </c>
      <c r="D13" s="13" t="s">
        <v>80</v>
      </c>
      <c r="E13" s="13" t="s">
        <v>81</v>
      </c>
      <c r="F13" s="13" t="s">
        <v>82</v>
      </c>
      <c r="G13" s="13" t="s">
        <v>83</v>
      </c>
      <c r="H13" s="13" t="s">
        <v>84</v>
      </c>
      <c r="I13" s="13" t="s">
        <v>85</v>
      </c>
      <c r="J13" s="13" t="s">
        <v>86</v>
      </c>
      <c r="K13" s="13" t="s">
        <v>87</v>
      </c>
      <c r="L13" s="13" t="s">
        <v>88</v>
      </c>
      <c r="M13" s="13" t="s">
        <v>89</v>
      </c>
    </row>
    <row r="14" customFormat="false" ht="15" hidden="false" customHeight="true" outlineLevel="0" collapsed="false">
      <c r="A14" s="12"/>
      <c r="B14" s="13" t="s">
        <v>90</v>
      </c>
      <c r="C14" s="13" t="s">
        <v>91</v>
      </c>
      <c r="D14" s="13" t="s">
        <v>92</v>
      </c>
      <c r="E14" s="13" t="s">
        <v>93</v>
      </c>
      <c r="F14" s="13" t="s">
        <v>94</v>
      </c>
      <c r="G14" s="13" t="s">
        <v>95</v>
      </c>
      <c r="H14" s="13" t="s">
        <v>96</v>
      </c>
      <c r="I14" s="13" t="s">
        <v>97</v>
      </c>
      <c r="J14" s="13" t="s">
        <v>98</v>
      </c>
      <c r="K14" s="13" t="s">
        <v>99</v>
      </c>
      <c r="L14" s="13" t="s">
        <v>100</v>
      </c>
      <c r="M14" s="13" t="s">
        <v>101</v>
      </c>
    </row>
    <row r="15" customFormat="false" ht="15" hidden="false" customHeight="true" outlineLevel="0" collapsed="false">
      <c r="A15" s="14" t="s">
        <v>102</v>
      </c>
      <c r="B15" s="15" t="n">
        <f aca="false">$B$5</f>
        <v>50000</v>
      </c>
      <c r="C15" s="15" t="n">
        <f aca="false">B28</f>
        <v>77000</v>
      </c>
      <c r="D15" s="15" t="n">
        <f aca="false">C28</f>
        <v>91000</v>
      </c>
      <c r="E15" s="15" t="n">
        <f aca="false">D28</f>
        <v>122100</v>
      </c>
      <c r="F15" s="15" t="n">
        <f aca="false">E28</f>
        <v>155405</v>
      </c>
      <c r="G15" s="15" t="n">
        <f aca="false">F28</f>
        <v>176025.25</v>
      </c>
      <c r="H15" s="15" t="n">
        <f aca="false">G28</f>
        <v>214076.5125</v>
      </c>
      <c r="I15" s="15" t="n">
        <f aca="false">H28</f>
        <v>254680.338125</v>
      </c>
      <c r="J15" s="15" t="n">
        <f aca="false">I28</f>
        <v>297964.35503125</v>
      </c>
      <c r="K15" s="15" t="n">
        <f aca="false">J28</f>
        <v>329062.572782813</v>
      </c>
      <c r="L15" s="15" t="n">
        <f aca="false">K28</f>
        <v>378115.701421953</v>
      </c>
      <c r="M15" s="15" t="n">
        <f aca="false">L28</f>
        <v>430271.486493051</v>
      </c>
    </row>
    <row r="16" customFormat="false" ht="15" hidden="false" customHeight="true" outlineLevel="0" collapsed="false">
      <c r="A16" s="16" t="s">
        <v>103</v>
      </c>
    </row>
    <row r="17" customFormat="false" ht="15" hidden="false" customHeight="true" outlineLevel="0" collapsed="false">
      <c r="A17" s="1" t="s">
        <v>104</v>
      </c>
      <c r="B17" s="15" t="n">
        <f aca="false">$B$6</f>
        <v>100000</v>
      </c>
      <c r="C17" s="15" t="n">
        <f aca="false">B17*(1+$B$7)</f>
        <v>105000</v>
      </c>
      <c r="D17" s="15" t="n">
        <f aca="false">C17*(1+$B$7)</f>
        <v>110250</v>
      </c>
      <c r="E17" s="15" t="n">
        <f aca="false">D17*(1+$B$7)</f>
        <v>115762.5</v>
      </c>
      <c r="F17" s="15" t="n">
        <f aca="false">E17*(1+$B$7)</f>
        <v>121550.625</v>
      </c>
      <c r="G17" s="15" t="n">
        <f aca="false">F17*(1+$B$7)</f>
        <v>127628.15625</v>
      </c>
      <c r="H17" s="15" t="n">
        <f aca="false">G17*(1+$B$7)</f>
        <v>134009.5640625</v>
      </c>
      <c r="I17" s="15" t="n">
        <f aca="false">H17*(1+$B$7)</f>
        <v>140710.042265625</v>
      </c>
      <c r="J17" s="15" t="n">
        <f aca="false">I17*(1+$B$7)</f>
        <v>147745.544378906</v>
      </c>
      <c r="K17" s="15" t="n">
        <f aca="false">J17*(1+$B$7)</f>
        <v>155132.821597852</v>
      </c>
      <c r="L17" s="15" t="n">
        <f aca="false">K17*(1+$B$7)</f>
        <v>162889.462677744</v>
      </c>
      <c r="M17" s="15" t="n">
        <f aca="false">L17*(1+$B$7)</f>
        <v>171033.935811631</v>
      </c>
    </row>
    <row r="18" customFormat="false" ht="15" hidden="false" customHeight="true" outlineLevel="0" collapsed="false">
      <c r="A18" s="14" t="s">
        <v>105</v>
      </c>
      <c r="B18" s="17" t="n">
        <f aca="false">B17</f>
        <v>100000</v>
      </c>
      <c r="C18" s="17" t="n">
        <f aca="false">C17</f>
        <v>105000</v>
      </c>
      <c r="D18" s="17" t="n">
        <f aca="false">D17</f>
        <v>110250</v>
      </c>
      <c r="E18" s="17" t="n">
        <f aca="false">E17</f>
        <v>115762.5</v>
      </c>
      <c r="F18" s="17" t="n">
        <f aca="false">F17</f>
        <v>121550.625</v>
      </c>
      <c r="G18" s="17" t="n">
        <f aca="false">G17</f>
        <v>127628.15625</v>
      </c>
      <c r="H18" s="17" t="n">
        <f aca="false">H17</f>
        <v>134009.5640625</v>
      </c>
      <c r="I18" s="17" t="n">
        <f aca="false">I17</f>
        <v>140710.042265625</v>
      </c>
      <c r="J18" s="17" t="n">
        <f aca="false">J17</f>
        <v>147745.544378906</v>
      </c>
      <c r="K18" s="17" t="n">
        <f aca="false">K17</f>
        <v>155132.821597852</v>
      </c>
      <c r="L18" s="17" t="n">
        <f aca="false">L17</f>
        <v>162889.462677744</v>
      </c>
      <c r="M18" s="17" t="n">
        <f aca="false">M17</f>
        <v>171033.935811631</v>
      </c>
    </row>
    <row r="19" customFormat="false" ht="15" hidden="false" customHeight="true" outlineLevel="0" collapsed="false">
      <c r="A19" s="18" t="s">
        <v>106</v>
      </c>
    </row>
    <row r="20" customFormat="false" ht="15" hidden="false" customHeight="true" outlineLevel="0" collapsed="false">
      <c r="A20" s="1" t="s">
        <v>107</v>
      </c>
      <c r="B20" s="15" t="n">
        <f aca="false">B17*$B$8</f>
        <v>60000</v>
      </c>
      <c r="C20" s="15" t="n">
        <f aca="false">C17*$B$8</f>
        <v>63000</v>
      </c>
      <c r="D20" s="15" t="n">
        <f aca="false">D17*$B$8</f>
        <v>66150</v>
      </c>
      <c r="E20" s="15" t="n">
        <f aca="false">E17*$B$8</f>
        <v>69457.5</v>
      </c>
      <c r="F20" s="15" t="n">
        <f aca="false">F17*$B$8</f>
        <v>72930.375</v>
      </c>
      <c r="G20" s="15" t="n">
        <f aca="false">G17*$B$8</f>
        <v>76576.89375</v>
      </c>
      <c r="H20" s="15" t="n">
        <f aca="false">H17*$B$8</f>
        <v>80405.7384375</v>
      </c>
      <c r="I20" s="15" t="n">
        <f aca="false">I17*$B$8</f>
        <v>84426.025359375</v>
      </c>
      <c r="J20" s="15" t="n">
        <f aca="false">J17*$B$8</f>
        <v>88647.3266273438</v>
      </c>
      <c r="K20" s="15" t="n">
        <f aca="false">K17*$B$8</f>
        <v>93079.692958711</v>
      </c>
      <c r="L20" s="15" t="n">
        <f aca="false">L17*$B$8</f>
        <v>97733.6776066465</v>
      </c>
      <c r="M20" s="15" t="n">
        <f aca="false">M17*$B$8</f>
        <v>102620.361486979</v>
      </c>
    </row>
    <row r="21" customFormat="false" ht="15" hidden="false" customHeight="true" outlineLevel="0" collapsed="false">
      <c r="A21" s="1" t="s">
        <v>108</v>
      </c>
      <c r="B21" s="15" t="n">
        <f aca="false">B20*0.5</f>
        <v>30000</v>
      </c>
      <c r="C21" s="15" t="n">
        <f aca="false">C20*0.5</f>
        <v>31500</v>
      </c>
      <c r="D21" s="15" t="n">
        <f aca="false">D20*0.5</f>
        <v>33075</v>
      </c>
      <c r="E21" s="15" t="n">
        <f aca="false">E20*0.5</f>
        <v>34728.75</v>
      </c>
      <c r="F21" s="15" t="n">
        <f aca="false">F20*0.5</f>
        <v>36465.1875</v>
      </c>
      <c r="G21" s="15" t="n">
        <f aca="false">G20*0.5</f>
        <v>38288.446875</v>
      </c>
      <c r="H21" s="15" t="n">
        <f aca="false">H20*0.5</f>
        <v>40202.86921875</v>
      </c>
      <c r="I21" s="15" t="n">
        <f aca="false">I20*0.5</f>
        <v>42213.0126796875</v>
      </c>
      <c r="J21" s="15" t="n">
        <f aca="false">J20*0.5</f>
        <v>44323.6633136719</v>
      </c>
      <c r="K21" s="15" t="n">
        <f aca="false">K20*0.5</f>
        <v>46539.8464793555</v>
      </c>
      <c r="L21" s="15" t="n">
        <f aca="false">L20*0.5</f>
        <v>48866.8388033233</v>
      </c>
      <c r="M21" s="15" t="n">
        <f aca="false">M20*0.5</f>
        <v>51310.1807434894</v>
      </c>
    </row>
    <row r="22" customFormat="false" ht="15" hidden="false" customHeight="true" outlineLevel="0" collapsed="false">
      <c r="A22" s="1" t="s">
        <v>109</v>
      </c>
      <c r="B22" s="19" t="n">
        <v>8000</v>
      </c>
      <c r="C22" s="19" t="n">
        <v>8000</v>
      </c>
      <c r="D22" s="19" t="n">
        <v>8000</v>
      </c>
      <c r="E22" s="19" t="n">
        <v>8000</v>
      </c>
      <c r="F22" s="19" t="n">
        <v>8000</v>
      </c>
      <c r="G22" s="19" t="n">
        <v>8000</v>
      </c>
      <c r="H22" s="19" t="n">
        <v>8000</v>
      </c>
      <c r="I22" s="19" t="n">
        <v>8000</v>
      </c>
      <c r="J22" s="19" t="n">
        <v>8000</v>
      </c>
      <c r="K22" s="19" t="n">
        <v>8000</v>
      </c>
      <c r="L22" s="19" t="n">
        <v>8000</v>
      </c>
      <c r="M22" s="19" t="n">
        <v>8000</v>
      </c>
    </row>
    <row r="23" customFormat="false" ht="15" hidden="false" customHeight="true" outlineLevel="0" collapsed="false">
      <c r="A23" s="1" t="s">
        <v>110</v>
      </c>
      <c r="B23" s="15" t="n">
        <f aca="false">B18*0.1</f>
        <v>10000</v>
      </c>
      <c r="C23" s="15" t="n">
        <f aca="false">C18*0.1</f>
        <v>10500</v>
      </c>
      <c r="D23" s="15" t="n">
        <f aca="false">D18*0.1</f>
        <v>11025</v>
      </c>
      <c r="E23" s="15" t="n">
        <f aca="false">E18*0.1</f>
        <v>11576.25</v>
      </c>
      <c r="F23" s="15" t="n">
        <f aca="false">F18*0.1</f>
        <v>12155.0625</v>
      </c>
      <c r="G23" s="15" t="n">
        <f aca="false">G18*0.1</f>
        <v>12762.815625</v>
      </c>
      <c r="H23" s="15" t="n">
        <f aca="false">H18*0.1</f>
        <v>13400.95640625</v>
      </c>
      <c r="I23" s="15" t="n">
        <f aca="false">I18*0.1</f>
        <v>14071.0042265625</v>
      </c>
      <c r="J23" s="15" t="n">
        <f aca="false">J18*0.1</f>
        <v>14774.5544378906</v>
      </c>
      <c r="K23" s="15" t="n">
        <f aca="false">K18*0.1</f>
        <v>15513.2821597852</v>
      </c>
      <c r="L23" s="15" t="n">
        <f aca="false">L18*0.1</f>
        <v>16288.9462677744</v>
      </c>
      <c r="M23" s="15" t="n">
        <f aca="false">M18*0.1</f>
        <v>17103.3935811631</v>
      </c>
    </row>
    <row r="24" customFormat="false" ht="15" hidden="false" customHeight="true" outlineLevel="0" collapsed="false">
      <c r="A24" s="1" t="s">
        <v>111</v>
      </c>
      <c r="B24" s="15" t="n">
        <f aca="false">$B$9</f>
        <v>5000</v>
      </c>
      <c r="C24" s="15" t="n">
        <f aca="false">$B$9</f>
        <v>5000</v>
      </c>
      <c r="D24" s="15" t="n">
        <f aca="false">$B$9</f>
        <v>5000</v>
      </c>
      <c r="E24" s="15" t="n">
        <f aca="false">$B$9</f>
        <v>5000</v>
      </c>
      <c r="F24" s="15" t="n">
        <f aca="false">$B$9</f>
        <v>5000</v>
      </c>
      <c r="G24" s="15" t="n">
        <f aca="false">$B$9</f>
        <v>5000</v>
      </c>
      <c r="H24" s="15" t="n">
        <f aca="false">$B$9</f>
        <v>5000</v>
      </c>
      <c r="I24" s="15" t="n">
        <f aca="false">$B$9</f>
        <v>5000</v>
      </c>
      <c r="J24" s="15" t="n">
        <f aca="false">$B$9</f>
        <v>5000</v>
      </c>
      <c r="K24" s="15" t="n">
        <f aca="false">$B$9</f>
        <v>5000</v>
      </c>
      <c r="L24" s="15" t="n">
        <f aca="false">$B$9</f>
        <v>5000</v>
      </c>
      <c r="M24" s="15" t="n">
        <f aca="false">$B$9</f>
        <v>5000</v>
      </c>
    </row>
    <row r="25" customFormat="false" ht="15" hidden="false" customHeight="true" outlineLevel="0" collapsed="false">
      <c r="A25" s="1" t="s">
        <v>112</v>
      </c>
      <c r="B25" s="19" t="n">
        <v>0</v>
      </c>
      <c r="C25" s="19" t="n">
        <v>15000</v>
      </c>
      <c r="D25" s="15" t="n">
        <v>0</v>
      </c>
      <c r="E25" s="19" t="n">
        <v>0</v>
      </c>
      <c r="F25" s="19" t="n">
        <v>15000</v>
      </c>
      <c r="G25" s="15" t="n">
        <v>0</v>
      </c>
      <c r="H25" s="15" t="n">
        <v>0</v>
      </c>
      <c r="I25" s="19" t="n">
        <v>0</v>
      </c>
      <c r="J25" s="19" t="n">
        <v>15000</v>
      </c>
      <c r="K25" s="15" t="n">
        <v>0</v>
      </c>
      <c r="L25" s="15" t="n">
        <v>0</v>
      </c>
      <c r="M25" s="15" t="n">
        <v>0</v>
      </c>
    </row>
    <row r="26" customFormat="false" ht="15" hidden="false" customHeight="true" outlineLevel="0" collapsed="false">
      <c r="A26" s="14" t="s">
        <v>113</v>
      </c>
      <c r="B26" s="17" t="n">
        <f aca="false">B20+B22+B24+B25</f>
        <v>73000</v>
      </c>
      <c r="C26" s="17" t="n">
        <f aca="false">C20+C22+C24+C25</f>
        <v>91000</v>
      </c>
      <c r="D26" s="17" t="n">
        <f aca="false">D20+D22+D24+D25</f>
        <v>79150</v>
      </c>
      <c r="E26" s="17" t="n">
        <f aca="false">E20+E22+E24+E25</f>
        <v>82457.5</v>
      </c>
      <c r="F26" s="17" t="n">
        <f aca="false">F20+F22+F24+F25</f>
        <v>100930.375</v>
      </c>
      <c r="G26" s="17" t="n">
        <f aca="false">G20+G22+G24+G25</f>
        <v>89576.89375</v>
      </c>
      <c r="H26" s="17" t="n">
        <f aca="false">H20+H22+H24+H25</f>
        <v>93405.7384375</v>
      </c>
      <c r="I26" s="17" t="n">
        <f aca="false">I20+I22+I24+I25</f>
        <v>97426.025359375</v>
      </c>
      <c r="J26" s="17" t="n">
        <f aca="false">J20+J22+J24+J25</f>
        <v>116647.326627344</v>
      </c>
      <c r="K26" s="17" t="n">
        <f aca="false">K20+K22+K24+K25</f>
        <v>106079.692958711</v>
      </c>
      <c r="L26" s="17" t="n">
        <f aca="false">L20+L22+L24+L25</f>
        <v>110733.677606647</v>
      </c>
      <c r="M26" s="17" t="n">
        <f aca="false">M20+M22+M24+M25</f>
        <v>115620.361486979</v>
      </c>
    </row>
    <row r="27" customFormat="false" ht="15" hidden="false" customHeight="true" outlineLevel="0" collapsed="false">
      <c r="A27" s="20" t="s">
        <v>114</v>
      </c>
      <c r="B27" s="21" t="n">
        <f aca="false">B18-B26</f>
        <v>27000</v>
      </c>
      <c r="C27" s="21" t="n">
        <f aca="false">C18-C26</f>
        <v>14000</v>
      </c>
      <c r="D27" s="21" t="n">
        <f aca="false">D18-D26</f>
        <v>31100</v>
      </c>
      <c r="E27" s="21" t="n">
        <f aca="false">E18-E26</f>
        <v>33305</v>
      </c>
      <c r="F27" s="21" t="n">
        <f aca="false">F18-F26</f>
        <v>20620.25</v>
      </c>
      <c r="G27" s="21" t="n">
        <f aca="false">G18-G26</f>
        <v>38051.2625</v>
      </c>
      <c r="H27" s="21" t="n">
        <f aca="false">H18-H26</f>
        <v>40603.825625</v>
      </c>
      <c r="I27" s="21" t="n">
        <f aca="false">I18-I26</f>
        <v>43284.01690625</v>
      </c>
      <c r="J27" s="21" t="n">
        <f aca="false">J18-J26</f>
        <v>31098.2177515625</v>
      </c>
      <c r="K27" s="21" t="n">
        <f aca="false">K18-K26</f>
        <v>49053.1286391406</v>
      </c>
      <c r="L27" s="21" t="n">
        <f aca="false">L18-L26</f>
        <v>52155.7850710977</v>
      </c>
      <c r="M27" s="21" t="n">
        <f aca="false">M18-M26</f>
        <v>55413.5743246526</v>
      </c>
    </row>
    <row r="28" customFormat="false" ht="15" hidden="false" customHeight="true" outlineLevel="0" collapsed="false">
      <c r="A28" s="20" t="s">
        <v>115</v>
      </c>
      <c r="B28" s="21" t="n">
        <f aca="false">B15+B27</f>
        <v>77000</v>
      </c>
      <c r="C28" s="21" t="n">
        <f aca="false">C15+C27</f>
        <v>91000</v>
      </c>
      <c r="D28" s="21" t="n">
        <f aca="false">D15+D27</f>
        <v>122100</v>
      </c>
      <c r="E28" s="21" t="n">
        <f aca="false">E15+E27</f>
        <v>155405</v>
      </c>
      <c r="F28" s="21" t="n">
        <f aca="false">F15+F27</f>
        <v>176025.25</v>
      </c>
      <c r="G28" s="21" t="n">
        <f aca="false">G15+G27</f>
        <v>214076.5125</v>
      </c>
      <c r="H28" s="21" t="n">
        <f aca="false">H15+H27</f>
        <v>254680.338125</v>
      </c>
      <c r="I28" s="21" t="n">
        <f aca="false">I15+I27</f>
        <v>297964.35503125</v>
      </c>
      <c r="J28" s="21" t="n">
        <f aca="false">J15+J27</f>
        <v>329062.572782813</v>
      </c>
      <c r="K28" s="21" t="n">
        <f aca="false">K15+K27</f>
        <v>378115.701421953</v>
      </c>
      <c r="L28" s="21" t="n">
        <f aca="false">L15+L27</f>
        <v>430271.486493051</v>
      </c>
      <c r="M28" s="21" t="n">
        <f aca="false">M15+M27</f>
        <v>485685.060817703</v>
      </c>
    </row>
    <row r="31" customFormat="false" ht="15" hidden="false" customHeight="true" outlineLevel="0" collapsed="false">
      <c r="A31" s="7" t="s">
        <v>116</v>
      </c>
    </row>
    <row r="32" customFormat="false" ht="15" hidden="false" customHeight="true" outlineLevel="0" collapsed="false">
      <c r="A32" s="1" t="s">
        <v>117</v>
      </c>
      <c r="B32" s="15" t="n">
        <f aca="false">NPV((1+$B$10)^(1/12)-1,B27:M27)</f>
        <v>410751.172674884</v>
      </c>
      <c r="C32" s="1" t="s">
        <v>118</v>
      </c>
    </row>
    <row r="33" customFormat="false" ht="15" hidden="false" customHeight="true" outlineLevel="0" collapsed="false">
      <c r="A33" s="1" t="s">
        <v>119</v>
      </c>
      <c r="B33" s="22" t="n">
        <f aca="false">AVERAGE(B27:M27)</f>
        <v>36307.0884014753</v>
      </c>
    </row>
    <row r="34" customFormat="false" ht="15" hidden="false" customHeight="true" outlineLevel="0" collapsed="false">
      <c r="A34" s="1" t="s">
        <v>120</v>
      </c>
      <c r="B34" s="15" t="n">
        <f aca="false">MIN(B28:M28)</f>
        <v>77000</v>
      </c>
    </row>
    <row r="35" customFormat="false" ht="15" hidden="false" customHeight="true" outlineLevel="0" collapsed="false">
      <c r="A35" s="1" t="s">
        <v>121</v>
      </c>
      <c r="B35" s="15" t="n">
        <f aca="false">MAX(B28:M28)</f>
        <v>485685.060817703</v>
      </c>
    </row>
  </sheetData>
  <mergeCells count="1">
    <mergeCell ref="A13:A14"/>
  </mergeCells>
  <conditionalFormatting sqref="B28:M2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20000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8" min="7" style="1" width="18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5" t="s">
        <v>122</v>
      </c>
    </row>
    <row r="2" customFormat="false" ht="15" hidden="false" customHeight="true" outlineLevel="0" collapsed="false">
      <c r="A2" s="6" t="s">
        <v>123</v>
      </c>
    </row>
    <row r="4" customFormat="false" ht="15" hidden="false" customHeight="true" outlineLevel="0" collapsed="false">
      <c r="A4" s="7" t="s">
        <v>124</v>
      </c>
      <c r="D4" s="23" t="s">
        <v>125</v>
      </c>
      <c r="E4" s="23"/>
      <c r="F4" s="23"/>
    </row>
    <row r="5" customFormat="false" ht="15" hidden="false" customHeight="true" outlineLevel="0" collapsed="false">
      <c r="A5" s="1" t="s">
        <v>126</v>
      </c>
      <c r="B5" s="10" t="n">
        <v>0.45</v>
      </c>
      <c r="D5" s="24" t="s">
        <v>127</v>
      </c>
      <c r="E5" s="24" t="s">
        <v>128</v>
      </c>
      <c r="F5" s="24" t="s">
        <v>129</v>
      </c>
    </row>
    <row r="6" customFormat="false" ht="15" hidden="false" customHeight="true" outlineLevel="0" collapsed="false">
      <c r="A6" s="1" t="s">
        <v>130</v>
      </c>
      <c r="B6" s="11" t="n">
        <v>0.03</v>
      </c>
      <c r="C6" s="1" t="s">
        <v>131</v>
      </c>
      <c r="D6" s="1" t="s">
        <v>132</v>
      </c>
      <c r="E6" s="11" t="n">
        <v>0.01</v>
      </c>
      <c r="F6" s="1" t="s">
        <v>133</v>
      </c>
    </row>
    <row r="7" customFormat="false" ht="15" hidden="false" customHeight="true" outlineLevel="0" collapsed="false">
      <c r="D7" s="1" t="s">
        <v>134</v>
      </c>
      <c r="E7" s="11" t="n">
        <v>0.02</v>
      </c>
      <c r="F7" s="1" t="s">
        <v>133</v>
      </c>
    </row>
    <row r="8" customFormat="false" ht="15" hidden="false" customHeight="true" outlineLevel="0" collapsed="false">
      <c r="D8" s="1" t="s">
        <v>135</v>
      </c>
      <c r="E8" s="11" t="n">
        <v>0.04</v>
      </c>
      <c r="F8" s="1" t="s">
        <v>133</v>
      </c>
    </row>
    <row r="9" customFormat="false" ht="15" hidden="false" customHeight="true" outlineLevel="0" collapsed="false">
      <c r="D9" s="1" t="s">
        <v>136</v>
      </c>
      <c r="E9" s="11" t="n">
        <v>0.08</v>
      </c>
      <c r="F9" s="1" t="s">
        <v>137</v>
      </c>
    </row>
    <row r="10" customFormat="false" ht="15" hidden="false" customHeight="true" outlineLevel="0" collapsed="false">
      <c r="D10" s="1" t="s">
        <v>138</v>
      </c>
      <c r="E10" s="11" t="n">
        <v>0.15</v>
      </c>
      <c r="F10" s="1" t="s">
        <v>137</v>
      </c>
    </row>
    <row r="11" customFormat="false" ht="15" hidden="false" customHeight="true" outlineLevel="0" collapsed="false">
      <c r="D11" s="1" t="s">
        <v>139</v>
      </c>
      <c r="E11" s="11" t="n">
        <v>0.25</v>
      </c>
      <c r="F11" s="1" t="s">
        <v>140</v>
      </c>
    </row>
    <row r="12" customFormat="false" ht="15" hidden="false" customHeight="true" outlineLevel="0" collapsed="false">
      <c r="D12" s="1" t="s">
        <v>141</v>
      </c>
      <c r="E12" s="11" t="n">
        <v>0.35</v>
      </c>
      <c r="F12" s="1" t="s">
        <v>140</v>
      </c>
    </row>
    <row r="13" customFormat="false" ht="15" hidden="false" customHeight="true" outlineLevel="0" collapsed="false">
      <c r="D13" s="1" t="s">
        <v>142</v>
      </c>
      <c r="E13" s="11" t="n">
        <v>0.5</v>
      </c>
      <c r="F13" s="1" t="s">
        <v>140</v>
      </c>
    </row>
    <row r="16" customFormat="false" ht="15" hidden="false" customHeight="true" outlineLevel="0" collapsed="false">
      <c r="A16" s="13" t="s">
        <v>143</v>
      </c>
      <c r="B16" s="13" t="s">
        <v>144</v>
      </c>
      <c r="C16" s="13" t="s">
        <v>145</v>
      </c>
      <c r="D16" s="13" t="s">
        <v>146</v>
      </c>
      <c r="E16" s="13" t="s">
        <v>147</v>
      </c>
      <c r="F16" s="13" t="s">
        <v>148</v>
      </c>
      <c r="G16" s="13" t="s">
        <v>149</v>
      </c>
      <c r="H16" s="13" t="s">
        <v>150</v>
      </c>
      <c r="I16" s="13" t="s">
        <v>129</v>
      </c>
    </row>
    <row r="17" customFormat="false" ht="15" hidden="false" customHeight="true" outlineLevel="0" collapsed="false">
      <c r="A17" s="1" t="s">
        <v>151</v>
      </c>
      <c r="B17" s="1" t="s">
        <v>152</v>
      </c>
      <c r="C17" s="8" t="n">
        <v>345243</v>
      </c>
      <c r="D17" s="25" t="n">
        <v>507</v>
      </c>
      <c r="E17" s="22" t="n">
        <f aca="false">IF(D17&gt;=800,0.01,IF(D17&gt;=750,0.02,IF(D17&gt;=700,0.04,IF(D17&gt;=650,0.08,IF(D17&gt;=600,0.15,IF(D17&gt;=550,0.25,IF(D17&gt;=500,0.35,0.5)))))))</f>
        <v>0.35</v>
      </c>
      <c r="F17" s="26" t="n">
        <f aca="false">$B$5</f>
        <v>0.45</v>
      </c>
      <c r="G17" s="27" t="n">
        <f aca="false">C17</f>
        <v>345243</v>
      </c>
      <c r="H17" s="15" t="n">
        <f aca="false">G17*E17*F17</f>
        <v>54375.7725</v>
      </c>
      <c r="I17" s="1" t="str">
        <f aca="false">IF(E17&gt;=0.2,"High",IF(E17&gt;=0.07,"Medium","Low"))</f>
        <v>High</v>
      </c>
    </row>
    <row r="18" customFormat="false" ht="15" hidden="false" customHeight="true" outlineLevel="0" collapsed="false">
      <c r="A18" s="1" t="s">
        <v>153</v>
      </c>
      <c r="B18" s="1" t="s">
        <v>154</v>
      </c>
      <c r="C18" s="8" t="n">
        <v>23112</v>
      </c>
      <c r="D18" s="25" t="n">
        <v>829</v>
      </c>
      <c r="E18" s="22" t="n">
        <f aca="false">IF(D18&gt;=800,0.01,IF(D18&gt;=750,0.02,IF(D18&gt;=700,0.04,IF(D18&gt;=650,0.08,IF(D18&gt;=600,0.15,IF(D18&gt;=550,0.25,IF(D18&gt;=500,0.35,0.5)))))))</f>
        <v>0.01</v>
      </c>
      <c r="F18" s="26" t="n">
        <f aca="false">$B$5</f>
        <v>0.45</v>
      </c>
      <c r="G18" s="27" t="n">
        <f aca="false">C18</f>
        <v>23112</v>
      </c>
      <c r="H18" s="15" t="n">
        <f aca="false">G18*E18*F18</f>
        <v>104.004</v>
      </c>
      <c r="I18" s="1" t="str">
        <f aca="false">IF(E18&gt;=0.2,"High",IF(E18&gt;=0.07,"Medium","Low"))</f>
        <v>Low</v>
      </c>
    </row>
    <row r="19" customFormat="false" ht="15" hidden="false" customHeight="true" outlineLevel="0" collapsed="false">
      <c r="A19" s="1" t="s">
        <v>155</v>
      </c>
      <c r="B19" s="1" t="s">
        <v>156</v>
      </c>
      <c r="C19" s="8" t="n">
        <v>154194</v>
      </c>
      <c r="D19" s="25" t="n">
        <v>575</v>
      </c>
      <c r="E19" s="22" t="n">
        <f aca="false">IF(D19&gt;=800,0.01,IF(D19&gt;=750,0.02,IF(D19&gt;=700,0.04,IF(D19&gt;=650,0.08,IF(D19&gt;=600,0.15,IF(D19&gt;=550,0.25,IF(D19&gt;=500,0.35,0.5)))))))</f>
        <v>0.25</v>
      </c>
      <c r="F19" s="26" t="n">
        <f aca="false">$B$5</f>
        <v>0.45</v>
      </c>
      <c r="G19" s="27" t="n">
        <f aca="false">C19</f>
        <v>154194</v>
      </c>
      <c r="H19" s="15" t="n">
        <f aca="false">G19*E19*F19</f>
        <v>17346.825</v>
      </c>
      <c r="I19" s="1" t="str">
        <f aca="false">IF(E19&gt;=0.2,"High",IF(E19&gt;=0.07,"Medium","Low"))</f>
        <v>High</v>
      </c>
    </row>
    <row r="20" customFormat="false" ht="15" hidden="false" customHeight="true" outlineLevel="0" collapsed="false">
      <c r="A20" s="1" t="s">
        <v>157</v>
      </c>
      <c r="B20" s="1" t="s">
        <v>158</v>
      </c>
      <c r="C20" s="8" t="n">
        <v>127026</v>
      </c>
      <c r="D20" s="25" t="n">
        <v>521</v>
      </c>
      <c r="E20" s="22" t="n">
        <f aca="false">IF(D20&gt;=800,0.01,IF(D20&gt;=750,0.02,IF(D20&gt;=700,0.04,IF(D20&gt;=650,0.08,IF(D20&gt;=600,0.15,IF(D20&gt;=550,0.25,IF(D20&gt;=500,0.35,0.5)))))))</f>
        <v>0.35</v>
      </c>
      <c r="F20" s="26" t="n">
        <f aca="false">$B$5</f>
        <v>0.45</v>
      </c>
      <c r="G20" s="27" t="n">
        <f aca="false">C20</f>
        <v>127026</v>
      </c>
      <c r="H20" s="15" t="n">
        <f aca="false">G20*E20*F20</f>
        <v>20006.595</v>
      </c>
      <c r="I20" s="1" t="str">
        <f aca="false">IF(E20&gt;=0.2,"High",IF(E20&gt;=0.07,"Medium","Low"))</f>
        <v>High</v>
      </c>
    </row>
    <row r="21" customFormat="false" ht="15" hidden="false" customHeight="true" outlineLevel="0" collapsed="false">
      <c r="A21" s="1" t="s">
        <v>159</v>
      </c>
      <c r="B21" s="1" t="s">
        <v>160</v>
      </c>
      <c r="C21" s="8" t="n">
        <v>396123</v>
      </c>
      <c r="D21" s="25" t="n">
        <v>502</v>
      </c>
      <c r="E21" s="22" t="n">
        <f aca="false">IF(D21&gt;=800,0.01,IF(D21&gt;=750,0.02,IF(D21&gt;=700,0.04,IF(D21&gt;=650,0.08,IF(D21&gt;=600,0.15,IF(D21&gt;=550,0.25,IF(D21&gt;=500,0.35,0.5)))))))</f>
        <v>0.35</v>
      </c>
      <c r="F21" s="26" t="n">
        <f aca="false">$B$5</f>
        <v>0.45</v>
      </c>
      <c r="G21" s="27" t="n">
        <f aca="false">C21</f>
        <v>396123</v>
      </c>
      <c r="H21" s="15" t="n">
        <f aca="false">G21*E21*F21</f>
        <v>62389.3725</v>
      </c>
      <c r="I21" s="1" t="str">
        <f aca="false">IF(E21&gt;=0.2,"High",IF(E21&gt;=0.07,"Medium","Low"))</f>
        <v>High</v>
      </c>
    </row>
    <row r="22" customFormat="false" ht="15" hidden="false" customHeight="true" outlineLevel="0" collapsed="false">
      <c r="A22" s="1" t="s">
        <v>161</v>
      </c>
      <c r="B22" s="1" t="s">
        <v>162</v>
      </c>
      <c r="C22" s="8" t="n">
        <v>364785</v>
      </c>
      <c r="D22" s="25" t="n">
        <v>829</v>
      </c>
      <c r="E22" s="22" t="n">
        <f aca="false">IF(D22&gt;=800,0.01,IF(D22&gt;=750,0.02,IF(D22&gt;=700,0.04,IF(D22&gt;=650,0.08,IF(D22&gt;=600,0.15,IF(D22&gt;=550,0.25,IF(D22&gt;=500,0.35,0.5)))))))</f>
        <v>0.01</v>
      </c>
      <c r="F22" s="26" t="n">
        <f aca="false">$B$5</f>
        <v>0.45</v>
      </c>
      <c r="G22" s="27" t="n">
        <f aca="false">C22</f>
        <v>364785</v>
      </c>
      <c r="H22" s="15" t="n">
        <f aca="false">G22*E22*F22</f>
        <v>1641.5325</v>
      </c>
      <c r="I22" s="1" t="str">
        <f aca="false">IF(E22&gt;=0.2,"High",IF(E22&gt;=0.07,"Medium","Low"))</f>
        <v>Low</v>
      </c>
    </row>
    <row r="23" customFormat="false" ht="15" hidden="false" customHeight="true" outlineLevel="0" collapsed="false">
      <c r="A23" s="1" t="s">
        <v>163</v>
      </c>
      <c r="B23" s="1" t="s">
        <v>164</v>
      </c>
      <c r="C23" s="8" t="n">
        <v>477759</v>
      </c>
      <c r="D23" s="25" t="n">
        <v>729</v>
      </c>
      <c r="E23" s="22" t="n">
        <f aca="false">IF(D23&gt;=800,0.01,IF(D23&gt;=750,0.02,IF(D23&gt;=700,0.04,IF(D23&gt;=650,0.08,IF(D23&gt;=600,0.15,IF(D23&gt;=550,0.25,IF(D23&gt;=500,0.35,0.5)))))))</f>
        <v>0.04</v>
      </c>
      <c r="F23" s="26" t="n">
        <f aca="false">$B$5</f>
        <v>0.45</v>
      </c>
      <c r="G23" s="27" t="n">
        <f aca="false">C23</f>
        <v>477759</v>
      </c>
      <c r="H23" s="15" t="n">
        <f aca="false">G23*E23*F23</f>
        <v>8599.662</v>
      </c>
      <c r="I23" s="1" t="str">
        <f aca="false">IF(E23&gt;=0.2,"High",IF(E23&gt;=0.07,"Medium","Low"))</f>
        <v>Low</v>
      </c>
    </row>
    <row r="24" customFormat="false" ht="15" hidden="false" customHeight="true" outlineLevel="0" collapsed="false">
      <c r="A24" s="1" t="s">
        <v>165</v>
      </c>
      <c r="B24" s="1" t="s">
        <v>166</v>
      </c>
      <c r="C24" s="8" t="n">
        <v>55580</v>
      </c>
      <c r="D24" s="25" t="n">
        <v>752</v>
      </c>
      <c r="E24" s="22" t="n">
        <f aca="false">IF(D24&gt;=800,0.01,IF(D24&gt;=750,0.02,IF(D24&gt;=700,0.04,IF(D24&gt;=650,0.08,IF(D24&gt;=600,0.15,IF(D24&gt;=550,0.25,IF(D24&gt;=500,0.35,0.5)))))))</f>
        <v>0.02</v>
      </c>
      <c r="F24" s="26" t="n">
        <f aca="false">$B$5</f>
        <v>0.45</v>
      </c>
      <c r="G24" s="27" t="n">
        <f aca="false">C24</f>
        <v>55580</v>
      </c>
      <c r="H24" s="15" t="n">
        <f aca="false">G24*E24*F24</f>
        <v>500.22</v>
      </c>
      <c r="I24" s="1" t="str">
        <f aca="false">IF(E24&gt;=0.2,"High",IF(E24&gt;=0.07,"Medium","Low"))</f>
        <v>Low</v>
      </c>
    </row>
    <row r="25" customFormat="false" ht="15" hidden="false" customHeight="true" outlineLevel="0" collapsed="false">
      <c r="A25" s="1" t="s">
        <v>167</v>
      </c>
      <c r="B25" s="1" t="s">
        <v>168</v>
      </c>
      <c r="C25" s="8" t="n">
        <v>231208</v>
      </c>
      <c r="D25" s="25" t="n">
        <v>466</v>
      </c>
      <c r="E25" s="22" t="n">
        <f aca="false">IF(D25&gt;=800,0.01,IF(D25&gt;=750,0.02,IF(D25&gt;=700,0.04,IF(D25&gt;=650,0.08,IF(D25&gt;=600,0.15,IF(D25&gt;=550,0.25,IF(D25&gt;=500,0.35,0.5)))))))</f>
        <v>0.5</v>
      </c>
      <c r="F25" s="26" t="n">
        <f aca="false">$B$5</f>
        <v>0.45</v>
      </c>
      <c r="G25" s="27" t="n">
        <f aca="false">C25</f>
        <v>231208</v>
      </c>
      <c r="H25" s="15" t="n">
        <f aca="false">G25*E25*F25</f>
        <v>52021.8</v>
      </c>
      <c r="I25" s="1" t="str">
        <f aca="false">IF(E25&gt;=0.2,"High",IF(E25&gt;=0.07,"Medium","Low"))</f>
        <v>High</v>
      </c>
    </row>
    <row r="26" customFormat="false" ht="15" hidden="false" customHeight="true" outlineLevel="0" collapsed="false">
      <c r="A26" s="1" t="s">
        <v>169</v>
      </c>
      <c r="B26" s="1" t="s">
        <v>170</v>
      </c>
      <c r="C26" s="8" t="n">
        <v>25622</v>
      </c>
      <c r="D26" s="25" t="n">
        <v>497</v>
      </c>
      <c r="E26" s="22" t="n">
        <f aca="false">IF(D26&gt;=800,0.01,IF(D26&gt;=750,0.02,IF(D26&gt;=700,0.04,IF(D26&gt;=650,0.08,IF(D26&gt;=600,0.15,IF(D26&gt;=550,0.25,IF(D26&gt;=500,0.35,0.5)))))))</f>
        <v>0.5</v>
      </c>
      <c r="F26" s="26" t="n">
        <f aca="false">$B$5</f>
        <v>0.45</v>
      </c>
      <c r="G26" s="27" t="n">
        <f aca="false">C26</f>
        <v>25622</v>
      </c>
      <c r="H26" s="15" t="n">
        <f aca="false">G26*E26*F26</f>
        <v>5764.95</v>
      </c>
      <c r="I26" s="1" t="str">
        <f aca="false">IF(E26&gt;=0.2,"High",IF(E26&gt;=0.07,"Medium","Low"))</f>
        <v>High</v>
      </c>
    </row>
    <row r="27" customFormat="false" ht="15" hidden="false" customHeight="true" outlineLevel="0" collapsed="false">
      <c r="A27" s="1" t="s">
        <v>171</v>
      </c>
      <c r="B27" s="1" t="s">
        <v>172</v>
      </c>
      <c r="C27" s="8" t="n">
        <v>124629</v>
      </c>
      <c r="D27" s="25" t="n">
        <v>569</v>
      </c>
      <c r="E27" s="22" t="n">
        <f aca="false">IF(D27&gt;=800,0.01,IF(D27&gt;=750,0.02,IF(D27&gt;=700,0.04,IF(D27&gt;=650,0.08,IF(D27&gt;=600,0.15,IF(D27&gt;=550,0.25,IF(D27&gt;=500,0.35,0.5)))))))</f>
        <v>0.25</v>
      </c>
      <c r="F27" s="26" t="n">
        <f aca="false">$B$5</f>
        <v>0.45</v>
      </c>
      <c r="G27" s="27" t="n">
        <f aca="false">C27</f>
        <v>124629</v>
      </c>
      <c r="H27" s="15" t="n">
        <f aca="false">G27*E27*F27</f>
        <v>14020.7625</v>
      </c>
      <c r="I27" s="1" t="str">
        <f aca="false">IF(E27&gt;=0.2,"High",IF(E27&gt;=0.07,"Medium","Low"))</f>
        <v>High</v>
      </c>
    </row>
    <row r="28" customFormat="false" ht="15" hidden="false" customHeight="true" outlineLevel="0" collapsed="false">
      <c r="A28" s="1" t="s">
        <v>173</v>
      </c>
      <c r="B28" s="1" t="s">
        <v>174</v>
      </c>
      <c r="C28" s="8" t="n">
        <v>274951</v>
      </c>
      <c r="D28" s="25" t="n">
        <v>758</v>
      </c>
      <c r="E28" s="22" t="n">
        <f aca="false">IF(D28&gt;=800,0.01,IF(D28&gt;=750,0.02,IF(D28&gt;=700,0.04,IF(D28&gt;=650,0.08,IF(D28&gt;=600,0.15,IF(D28&gt;=550,0.25,IF(D28&gt;=500,0.35,0.5)))))))</f>
        <v>0.02</v>
      </c>
      <c r="F28" s="26" t="n">
        <f aca="false">$B$5</f>
        <v>0.45</v>
      </c>
      <c r="G28" s="27" t="n">
        <f aca="false">C28</f>
        <v>274951</v>
      </c>
      <c r="H28" s="15" t="n">
        <f aca="false">G28*E28*F28</f>
        <v>2474.559</v>
      </c>
      <c r="I28" s="1" t="str">
        <f aca="false">IF(E28&gt;=0.2,"High",IF(E28&gt;=0.07,"Medium","Low"))</f>
        <v>Low</v>
      </c>
    </row>
    <row r="29" customFormat="false" ht="15" hidden="false" customHeight="true" outlineLevel="0" collapsed="false">
      <c r="A29" s="1" t="s">
        <v>175</v>
      </c>
      <c r="B29" s="1" t="s">
        <v>176</v>
      </c>
      <c r="C29" s="8" t="n">
        <v>23912</v>
      </c>
      <c r="D29" s="25" t="n">
        <v>737</v>
      </c>
      <c r="E29" s="22" t="n">
        <f aca="false">IF(D29&gt;=800,0.01,IF(D29&gt;=750,0.02,IF(D29&gt;=700,0.04,IF(D29&gt;=650,0.08,IF(D29&gt;=600,0.15,IF(D29&gt;=550,0.25,IF(D29&gt;=500,0.35,0.5)))))))</f>
        <v>0.04</v>
      </c>
      <c r="F29" s="26" t="n">
        <f aca="false">$B$5</f>
        <v>0.45</v>
      </c>
      <c r="G29" s="27" t="n">
        <f aca="false">C29</f>
        <v>23912</v>
      </c>
      <c r="H29" s="15" t="n">
        <f aca="false">G29*E29*F29</f>
        <v>430.416</v>
      </c>
      <c r="I29" s="1" t="str">
        <f aca="false">IF(E29&gt;=0.2,"High",IF(E29&gt;=0.07,"Medium","Low"))</f>
        <v>Low</v>
      </c>
    </row>
    <row r="30" customFormat="false" ht="15" hidden="false" customHeight="true" outlineLevel="0" collapsed="false">
      <c r="A30" s="1" t="s">
        <v>177</v>
      </c>
      <c r="B30" s="1" t="s">
        <v>178</v>
      </c>
      <c r="C30" s="8" t="n">
        <v>114248</v>
      </c>
      <c r="D30" s="25" t="n">
        <v>816</v>
      </c>
      <c r="E30" s="22" t="n">
        <f aca="false">IF(D30&gt;=800,0.01,IF(D30&gt;=750,0.02,IF(D30&gt;=700,0.04,IF(D30&gt;=650,0.08,IF(D30&gt;=600,0.15,IF(D30&gt;=550,0.25,IF(D30&gt;=500,0.35,0.5)))))))</f>
        <v>0.01</v>
      </c>
      <c r="F30" s="26" t="n">
        <f aca="false">$B$5</f>
        <v>0.45</v>
      </c>
      <c r="G30" s="27" t="n">
        <f aca="false">C30</f>
        <v>114248</v>
      </c>
      <c r="H30" s="15" t="n">
        <f aca="false">G30*E30*F30</f>
        <v>514.116</v>
      </c>
      <c r="I30" s="1" t="str">
        <f aca="false">IF(E30&gt;=0.2,"High",IF(E30&gt;=0.07,"Medium","Low"))</f>
        <v>Low</v>
      </c>
    </row>
    <row r="31" customFormat="false" ht="15" hidden="false" customHeight="true" outlineLevel="0" collapsed="false">
      <c r="A31" s="1" t="s">
        <v>179</v>
      </c>
      <c r="B31" s="1" t="s">
        <v>180</v>
      </c>
      <c r="C31" s="8" t="n">
        <v>350726</v>
      </c>
      <c r="D31" s="25" t="n">
        <v>809</v>
      </c>
      <c r="E31" s="22" t="n">
        <f aca="false">IF(D31&gt;=800,0.01,IF(D31&gt;=750,0.02,IF(D31&gt;=700,0.04,IF(D31&gt;=650,0.08,IF(D31&gt;=600,0.15,IF(D31&gt;=550,0.25,IF(D31&gt;=500,0.35,0.5)))))))</f>
        <v>0.01</v>
      </c>
      <c r="F31" s="26" t="n">
        <f aca="false">$B$5</f>
        <v>0.45</v>
      </c>
      <c r="G31" s="27" t="n">
        <f aca="false">C31</f>
        <v>350726</v>
      </c>
      <c r="H31" s="15" t="n">
        <f aca="false">G31*E31*F31</f>
        <v>1578.267</v>
      </c>
      <c r="I31" s="1" t="str">
        <f aca="false">IF(E31&gt;=0.2,"High",IF(E31&gt;=0.07,"Medium","Low"))</f>
        <v>Low</v>
      </c>
    </row>
    <row r="32" customFormat="false" ht="15" hidden="false" customHeight="true" outlineLevel="0" collapsed="false">
      <c r="A32" s="1" t="s">
        <v>181</v>
      </c>
      <c r="B32" s="1" t="s">
        <v>182</v>
      </c>
      <c r="C32" s="8" t="n">
        <v>295706</v>
      </c>
      <c r="D32" s="25" t="n">
        <v>664</v>
      </c>
      <c r="E32" s="22" t="n">
        <f aca="false">IF(D32&gt;=800,0.01,IF(D32&gt;=750,0.02,IF(D32&gt;=700,0.04,IF(D32&gt;=650,0.08,IF(D32&gt;=600,0.15,IF(D32&gt;=550,0.25,IF(D32&gt;=500,0.35,0.5)))))))</f>
        <v>0.08</v>
      </c>
      <c r="F32" s="26" t="n">
        <f aca="false">$B$5</f>
        <v>0.45</v>
      </c>
      <c r="G32" s="27" t="n">
        <f aca="false">C32</f>
        <v>295706</v>
      </c>
      <c r="H32" s="15" t="n">
        <f aca="false">G32*E32*F32</f>
        <v>10645.416</v>
      </c>
      <c r="I32" s="1" t="str">
        <f aca="false">IF(E32&gt;=0.2,"High",IF(E32&gt;=0.07,"Medium","Low"))</f>
        <v>Medium</v>
      </c>
    </row>
    <row r="33" customFormat="false" ht="15" hidden="false" customHeight="true" outlineLevel="0" collapsed="false">
      <c r="A33" s="1" t="s">
        <v>183</v>
      </c>
      <c r="B33" s="1" t="s">
        <v>184</v>
      </c>
      <c r="C33" s="8" t="n">
        <v>125574</v>
      </c>
      <c r="D33" s="25" t="n">
        <v>679</v>
      </c>
      <c r="E33" s="22" t="n">
        <f aca="false">IF(D33&gt;=800,0.01,IF(D33&gt;=750,0.02,IF(D33&gt;=700,0.04,IF(D33&gt;=650,0.08,IF(D33&gt;=600,0.15,IF(D33&gt;=550,0.25,IF(D33&gt;=500,0.35,0.5)))))))</f>
        <v>0.08</v>
      </c>
      <c r="F33" s="26" t="n">
        <f aca="false">$B$5</f>
        <v>0.45</v>
      </c>
      <c r="G33" s="27" t="n">
        <f aca="false">C33</f>
        <v>125574</v>
      </c>
      <c r="H33" s="15" t="n">
        <f aca="false">G33*E33*F33</f>
        <v>4520.664</v>
      </c>
      <c r="I33" s="1" t="str">
        <f aca="false">IF(E33&gt;=0.2,"High",IF(E33&gt;=0.07,"Medium","Low"))</f>
        <v>Medium</v>
      </c>
    </row>
    <row r="34" customFormat="false" ht="15" hidden="false" customHeight="true" outlineLevel="0" collapsed="false">
      <c r="A34" s="1" t="s">
        <v>185</v>
      </c>
      <c r="B34" s="1" t="s">
        <v>186</v>
      </c>
      <c r="C34" s="8" t="n">
        <v>318944</v>
      </c>
      <c r="D34" s="25" t="n">
        <v>592</v>
      </c>
      <c r="E34" s="22" t="n">
        <f aca="false">IF(D34&gt;=800,0.01,IF(D34&gt;=750,0.02,IF(D34&gt;=700,0.04,IF(D34&gt;=650,0.08,IF(D34&gt;=600,0.15,IF(D34&gt;=550,0.25,IF(D34&gt;=500,0.35,0.5)))))))</f>
        <v>0.25</v>
      </c>
      <c r="F34" s="26" t="n">
        <f aca="false">$B$5</f>
        <v>0.45</v>
      </c>
      <c r="G34" s="27" t="n">
        <f aca="false">C34</f>
        <v>318944</v>
      </c>
      <c r="H34" s="15" t="n">
        <f aca="false">G34*E34*F34</f>
        <v>35881.2</v>
      </c>
      <c r="I34" s="1" t="str">
        <f aca="false">IF(E34&gt;=0.2,"High",IF(E34&gt;=0.07,"Medium","Low"))</f>
        <v>High</v>
      </c>
    </row>
    <row r="35" customFormat="false" ht="15" hidden="false" customHeight="true" outlineLevel="0" collapsed="false">
      <c r="A35" s="1" t="s">
        <v>187</v>
      </c>
      <c r="B35" s="1" t="s">
        <v>188</v>
      </c>
      <c r="C35" s="8" t="n">
        <v>434374</v>
      </c>
      <c r="D35" s="25" t="n">
        <v>453</v>
      </c>
      <c r="E35" s="22" t="n">
        <f aca="false">IF(D35&gt;=800,0.01,IF(D35&gt;=750,0.02,IF(D35&gt;=700,0.04,IF(D35&gt;=650,0.08,IF(D35&gt;=600,0.15,IF(D35&gt;=550,0.25,IF(D35&gt;=500,0.35,0.5)))))))</f>
        <v>0.5</v>
      </c>
      <c r="F35" s="26" t="n">
        <f aca="false">$B$5</f>
        <v>0.45</v>
      </c>
      <c r="G35" s="27" t="n">
        <f aca="false">C35</f>
        <v>434374</v>
      </c>
      <c r="H35" s="15" t="n">
        <f aca="false">G35*E35*F35</f>
        <v>97734.15</v>
      </c>
      <c r="I35" s="1" t="str">
        <f aca="false">IF(E35&gt;=0.2,"High",IF(E35&gt;=0.07,"Medium","Low"))</f>
        <v>High</v>
      </c>
    </row>
    <row r="36" customFormat="false" ht="15" hidden="false" customHeight="true" outlineLevel="0" collapsed="false">
      <c r="A36" s="1" t="s">
        <v>189</v>
      </c>
      <c r="B36" s="1" t="s">
        <v>190</v>
      </c>
      <c r="C36" s="8" t="n">
        <v>407833</v>
      </c>
      <c r="D36" s="25" t="n">
        <v>531</v>
      </c>
      <c r="E36" s="22" t="n">
        <f aca="false">IF(D36&gt;=800,0.01,IF(D36&gt;=750,0.02,IF(D36&gt;=700,0.04,IF(D36&gt;=650,0.08,IF(D36&gt;=600,0.15,IF(D36&gt;=550,0.25,IF(D36&gt;=500,0.35,0.5)))))))</f>
        <v>0.35</v>
      </c>
      <c r="F36" s="26" t="n">
        <f aca="false">$B$5</f>
        <v>0.45</v>
      </c>
      <c r="G36" s="27" t="n">
        <f aca="false">C36</f>
        <v>407833</v>
      </c>
      <c r="H36" s="15" t="n">
        <f aca="false">G36*E36*F36</f>
        <v>64233.6975</v>
      </c>
      <c r="I36" s="1" t="str">
        <f aca="false">IF(E36&gt;=0.2,"High",IF(E36&gt;=0.07,"Medium","Low"))</f>
        <v>High</v>
      </c>
    </row>
    <row r="37" customFormat="false" ht="15" hidden="false" customHeight="true" outlineLevel="0" collapsed="false">
      <c r="A37" s="1" t="s">
        <v>191</v>
      </c>
      <c r="B37" s="1" t="s">
        <v>192</v>
      </c>
      <c r="C37" s="8" t="n">
        <v>376026</v>
      </c>
      <c r="D37" s="25" t="n">
        <v>666</v>
      </c>
      <c r="E37" s="22" t="n">
        <f aca="false">IF(D37&gt;=800,0.01,IF(D37&gt;=750,0.02,IF(D37&gt;=700,0.04,IF(D37&gt;=650,0.08,IF(D37&gt;=600,0.15,IF(D37&gt;=550,0.25,IF(D37&gt;=500,0.35,0.5)))))))</f>
        <v>0.08</v>
      </c>
      <c r="F37" s="26" t="n">
        <f aca="false">$B$5</f>
        <v>0.45</v>
      </c>
      <c r="G37" s="27" t="n">
        <f aca="false">C37</f>
        <v>376026</v>
      </c>
      <c r="H37" s="15" t="n">
        <f aca="false">G37*E37*F37</f>
        <v>13536.936</v>
      </c>
      <c r="I37" s="1" t="str">
        <f aca="false">IF(E37&gt;=0.2,"High",IF(E37&gt;=0.07,"Medium","Low"))</f>
        <v>Medium</v>
      </c>
    </row>
    <row r="38" customFormat="false" ht="15" hidden="false" customHeight="true" outlineLevel="0" collapsed="false">
      <c r="A38" s="1" t="s">
        <v>193</v>
      </c>
      <c r="B38" s="1" t="s">
        <v>194</v>
      </c>
      <c r="C38" s="8" t="n">
        <v>188389</v>
      </c>
      <c r="D38" s="25" t="n">
        <v>592</v>
      </c>
      <c r="E38" s="22" t="n">
        <f aca="false">IF(D38&gt;=800,0.01,IF(D38&gt;=750,0.02,IF(D38&gt;=700,0.04,IF(D38&gt;=650,0.08,IF(D38&gt;=600,0.15,IF(D38&gt;=550,0.25,IF(D38&gt;=500,0.35,0.5)))))))</f>
        <v>0.25</v>
      </c>
      <c r="F38" s="26" t="n">
        <f aca="false">$B$5</f>
        <v>0.45</v>
      </c>
      <c r="G38" s="27" t="n">
        <f aca="false">C38</f>
        <v>188389</v>
      </c>
      <c r="H38" s="15" t="n">
        <f aca="false">G38*E38*F38</f>
        <v>21193.7625</v>
      </c>
      <c r="I38" s="1" t="str">
        <f aca="false">IF(E38&gt;=0.2,"High",IF(E38&gt;=0.07,"Medium","Low"))</f>
        <v>High</v>
      </c>
    </row>
    <row r="39" customFormat="false" ht="15" hidden="false" customHeight="true" outlineLevel="0" collapsed="false">
      <c r="A39" s="1" t="s">
        <v>195</v>
      </c>
      <c r="B39" s="1" t="s">
        <v>196</v>
      </c>
      <c r="C39" s="8" t="n">
        <v>91516</v>
      </c>
      <c r="D39" s="25" t="n">
        <v>560</v>
      </c>
      <c r="E39" s="22" t="n">
        <f aca="false">IF(D39&gt;=800,0.01,IF(D39&gt;=750,0.02,IF(D39&gt;=700,0.04,IF(D39&gt;=650,0.08,IF(D39&gt;=600,0.15,IF(D39&gt;=550,0.25,IF(D39&gt;=500,0.35,0.5)))))))</f>
        <v>0.25</v>
      </c>
      <c r="F39" s="26" t="n">
        <f aca="false">$B$5</f>
        <v>0.45</v>
      </c>
      <c r="G39" s="27" t="n">
        <f aca="false">C39</f>
        <v>91516</v>
      </c>
      <c r="H39" s="15" t="n">
        <f aca="false">G39*E39*F39</f>
        <v>10295.55</v>
      </c>
      <c r="I39" s="1" t="str">
        <f aca="false">IF(E39&gt;=0.2,"High",IF(E39&gt;=0.07,"Medium","Low"))</f>
        <v>High</v>
      </c>
    </row>
    <row r="40" customFormat="false" ht="15" hidden="false" customHeight="true" outlineLevel="0" collapsed="false">
      <c r="A40" s="1" t="s">
        <v>197</v>
      </c>
      <c r="B40" s="1" t="s">
        <v>198</v>
      </c>
      <c r="C40" s="8" t="n">
        <v>410290</v>
      </c>
      <c r="D40" s="25" t="n">
        <v>622</v>
      </c>
      <c r="E40" s="22" t="n">
        <f aca="false">IF(D40&gt;=800,0.01,IF(D40&gt;=750,0.02,IF(D40&gt;=700,0.04,IF(D40&gt;=650,0.08,IF(D40&gt;=600,0.15,IF(D40&gt;=550,0.25,IF(D40&gt;=500,0.35,0.5)))))))</f>
        <v>0.15</v>
      </c>
      <c r="F40" s="26" t="n">
        <f aca="false">$B$5</f>
        <v>0.45</v>
      </c>
      <c r="G40" s="27" t="n">
        <f aca="false">C40</f>
        <v>410290</v>
      </c>
      <c r="H40" s="15" t="n">
        <f aca="false">G40*E40*F40</f>
        <v>27694.575</v>
      </c>
      <c r="I40" s="1" t="str">
        <f aca="false">IF(E40&gt;=0.2,"High",IF(E40&gt;=0.07,"Medium","Low"))</f>
        <v>Medium</v>
      </c>
    </row>
    <row r="41" customFormat="false" ht="15" hidden="false" customHeight="true" outlineLevel="0" collapsed="false">
      <c r="A41" s="1" t="s">
        <v>199</v>
      </c>
      <c r="B41" s="1" t="s">
        <v>200</v>
      </c>
      <c r="C41" s="8" t="n">
        <v>63587</v>
      </c>
      <c r="D41" s="25" t="n">
        <v>497</v>
      </c>
      <c r="E41" s="22" t="n">
        <f aca="false">IF(D41&gt;=800,0.01,IF(D41&gt;=750,0.02,IF(D41&gt;=700,0.04,IF(D41&gt;=650,0.08,IF(D41&gt;=600,0.15,IF(D41&gt;=550,0.25,IF(D41&gt;=500,0.35,0.5)))))))</f>
        <v>0.5</v>
      </c>
      <c r="F41" s="26" t="n">
        <f aca="false">$B$5</f>
        <v>0.45</v>
      </c>
      <c r="G41" s="27" t="n">
        <f aca="false">C41</f>
        <v>63587</v>
      </c>
      <c r="H41" s="15" t="n">
        <f aca="false">G41*E41*F41</f>
        <v>14307.075</v>
      </c>
      <c r="I41" s="1" t="str">
        <f aca="false">IF(E41&gt;=0.2,"High",IF(E41&gt;=0.07,"Medium","Low"))</f>
        <v>High</v>
      </c>
    </row>
    <row r="42" customFormat="false" ht="15" hidden="false" customHeight="true" outlineLevel="0" collapsed="false">
      <c r="A42" s="1" t="s">
        <v>201</v>
      </c>
      <c r="B42" s="1" t="s">
        <v>202</v>
      </c>
      <c r="C42" s="8" t="n">
        <v>209191</v>
      </c>
      <c r="D42" s="25" t="n">
        <v>499</v>
      </c>
      <c r="E42" s="22" t="n">
        <f aca="false">IF(D42&gt;=800,0.01,IF(D42&gt;=750,0.02,IF(D42&gt;=700,0.04,IF(D42&gt;=650,0.08,IF(D42&gt;=600,0.15,IF(D42&gt;=550,0.25,IF(D42&gt;=500,0.35,0.5)))))))</f>
        <v>0.5</v>
      </c>
      <c r="F42" s="26" t="n">
        <f aca="false">$B$5</f>
        <v>0.45</v>
      </c>
      <c r="G42" s="27" t="n">
        <f aca="false">C42</f>
        <v>209191</v>
      </c>
      <c r="H42" s="15" t="n">
        <f aca="false">G42*E42*F42</f>
        <v>47067.975</v>
      </c>
      <c r="I42" s="1" t="str">
        <f aca="false">IF(E42&gt;=0.2,"High",IF(E42&gt;=0.07,"Medium","Low"))</f>
        <v>High</v>
      </c>
    </row>
    <row r="43" customFormat="false" ht="15" hidden="false" customHeight="true" outlineLevel="0" collapsed="false">
      <c r="A43" s="1" t="s">
        <v>203</v>
      </c>
      <c r="B43" s="1" t="s">
        <v>204</v>
      </c>
      <c r="C43" s="8" t="n">
        <v>198208</v>
      </c>
      <c r="D43" s="25" t="n">
        <v>626</v>
      </c>
      <c r="E43" s="22" t="n">
        <f aca="false">IF(D43&gt;=800,0.01,IF(D43&gt;=750,0.02,IF(D43&gt;=700,0.04,IF(D43&gt;=650,0.08,IF(D43&gt;=600,0.15,IF(D43&gt;=550,0.25,IF(D43&gt;=500,0.35,0.5)))))))</f>
        <v>0.15</v>
      </c>
      <c r="F43" s="26" t="n">
        <f aca="false">$B$5</f>
        <v>0.45</v>
      </c>
      <c r="G43" s="27" t="n">
        <f aca="false">C43</f>
        <v>198208</v>
      </c>
      <c r="H43" s="15" t="n">
        <f aca="false">G43*E43*F43</f>
        <v>13379.04</v>
      </c>
      <c r="I43" s="1" t="str">
        <f aca="false">IF(E43&gt;=0.2,"High",IF(E43&gt;=0.07,"Medium","Low"))</f>
        <v>Medium</v>
      </c>
    </row>
    <row r="44" customFormat="false" ht="15" hidden="false" customHeight="true" outlineLevel="0" collapsed="false">
      <c r="A44" s="1" t="s">
        <v>205</v>
      </c>
      <c r="B44" s="1" t="s">
        <v>206</v>
      </c>
      <c r="C44" s="8" t="n">
        <v>326526</v>
      </c>
      <c r="D44" s="25" t="n">
        <v>585</v>
      </c>
      <c r="E44" s="22" t="n">
        <f aca="false">IF(D44&gt;=800,0.01,IF(D44&gt;=750,0.02,IF(D44&gt;=700,0.04,IF(D44&gt;=650,0.08,IF(D44&gt;=600,0.15,IF(D44&gt;=550,0.25,IF(D44&gt;=500,0.35,0.5)))))))</f>
        <v>0.25</v>
      </c>
      <c r="F44" s="26" t="n">
        <f aca="false">$B$5</f>
        <v>0.45</v>
      </c>
      <c r="G44" s="27" t="n">
        <f aca="false">C44</f>
        <v>326526</v>
      </c>
      <c r="H44" s="15" t="n">
        <f aca="false">G44*E44*F44</f>
        <v>36734.175</v>
      </c>
      <c r="I44" s="1" t="str">
        <f aca="false">IF(E44&gt;=0.2,"High",IF(E44&gt;=0.07,"Medium","Low"))</f>
        <v>High</v>
      </c>
    </row>
    <row r="45" customFormat="false" ht="15" hidden="false" customHeight="true" outlineLevel="0" collapsed="false">
      <c r="A45" s="1" t="s">
        <v>207</v>
      </c>
      <c r="B45" s="1" t="s">
        <v>208</v>
      </c>
      <c r="C45" s="8" t="n">
        <v>433167</v>
      </c>
      <c r="D45" s="25" t="n">
        <v>472</v>
      </c>
      <c r="E45" s="22" t="n">
        <f aca="false">IF(D45&gt;=800,0.01,IF(D45&gt;=750,0.02,IF(D45&gt;=700,0.04,IF(D45&gt;=650,0.08,IF(D45&gt;=600,0.15,IF(D45&gt;=550,0.25,IF(D45&gt;=500,0.35,0.5)))))))</f>
        <v>0.5</v>
      </c>
      <c r="F45" s="26" t="n">
        <f aca="false">$B$5</f>
        <v>0.45</v>
      </c>
      <c r="G45" s="27" t="n">
        <f aca="false">C45</f>
        <v>433167</v>
      </c>
      <c r="H45" s="15" t="n">
        <f aca="false">G45*E45*F45</f>
        <v>97462.575</v>
      </c>
      <c r="I45" s="1" t="str">
        <f aca="false">IF(E45&gt;=0.2,"High",IF(E45&gt;=0.07,"Medium","Low"))</f>
        <v>High</v>
      </c>
    </row>
    <row r="46" customFormat="false" ht="15" hidden="false" customHeight="true" outlineLevel="0" collapsed="false">
      <c r="A46" s="1" t="s">
        <v>209</v>
      </c>
      <c r="B46" s="1" t="s">
        <v>210</v>
      </c>
      <c r="C46" s="8" t="n">
        <v>392589</v>
      </c>
      <c r="D46" s="25" t="n">
        <v>685</v>
      </c>
      <c r="E46" s="22" t="n">
        <f aca="false">IF(D46&gt;=800,0.01,IF(D46&gt;=750,0.02,IF(D46&gt;=700,0.04,IF(D46&gt;=650,0.08,IF(D46&gt;=600,0.15,IF(D46&gt;=550,0.25,IF(D46&gt;=500,0.35,0.5)))))))</f>
        <v>0.08</v>
      </c>
      <c r="F46" s="26" t="n">
        <f aca="false">$B$5</f>
        <v>0.45</v>
      </c>
      <c r="G46" s="27" t="n">
        <f aca="false">C46</f>
        <v>392589</v>
      </c>
      <c r="H46" s="15" t="n">
        <f aca="false">G46*E46*F46</f>
        <v>14133.204</v>
      </c>
      <c r="I46" s="1" t="str">
        <f aca="false">IF(E46&gt;=0.2,"High",IF(E46&gt;=0.07,"Medium","Low"))</f>
        <v>Medium</v>
      </c>
    </row>
    <row r="47" customFormat="false" ht="15" hidden="false" customHeight="true" outlineLevel="0" collapsed="false">
      <c r="A47" s="1" t="s">
        <v>211</v>
      </c>
      <c r="B47" s="1" t="s">
        <v>212</v>
      </c>
      <c r="C47" s="8" t="n">
        <v>291137</v>
      </c>
      <c r="D47" s="25" t="n">
        <v>513</v>
      </c>
      <c r="E47" s="22" t="n">
        <f aca="false">IF(D47&gt;=800,0.01,IF(D47&gt;=750,0.02,IF(D47&gt;=700,0.04,IF(D47&gt;=650,0.08,IF(D47&gt;=600,0.15,IF(D47&gt;=550,0.25,IF(D47&gt;=500,0.35,0.5)))))))</f>
        <v>0.35</v>
      </c>
      <c r="F47" s="26" t="n">
        <f aca="false">$B$5</f>
        <v>0.45</v>
      </c>
      <c r="G47" s="27" t="n">
        <f aca="false">C47</f>
        <v>291137</v>
      </c>
      <c r="H47" s="15" t="n">
        <f aca="false">G47*E47*F47</f>
        <v>45854.0775</v>
      </c>
      <c r="I47" s="1" t="str">
        <f aca="false">IF(E47&gt;=0.2,"High",IF(E47&gt;=0.07,"Medium","Low"))</f>
        <v>High</v>
      </c>
    </row>
    <row r="48" customFormat="false" ht="15" hidden="false" customHeight="true" outlineLevel="0" collapsed="false">
      <c r="A48" s="1" t="s">
        <v>213</v>
      </c>
      <c r="B48" s="1" t="s">
        <v>214</v>
      </c>
      <c r="C48" s="8" t="n">
        <v>493548</v>
      </c>
      <c r="D48" s="25" t="n">
        <v>643</v>
      </c>
      <c r="E48" s="22" t="n">
        <f aca="false">IF(D48&gt;=800,0.01,IF(D48&gt;=750,0.02,IF(D48&gt;=700,0.04,IF(D48&gt;=650,0.08,IF(D48&gt;=600,0.15,IF(D48&gt;=550,0.25,IF(D48&gt;=500,0.35,0.5)))))))</f>
        <v>0.15</v>
      </c>
      <c r="F48" s="26" t="n">
        <f aca="false">$B$5</f>
        <v>0.45</v>
      </c>
      <c r="G48" s="27" t="n">
        <f aca="false">C48</f>
        <v>493548</v>
      </c>
      <c r="H48" s="15" t="n">
        <f aca="false">G48*E48*F48</f>
        <v>33314.49</v>
      </c>
      <c r="I48" s="1" t="str">
        <f aca="false">IF(E48&gt;=0.2,"High",IF(E48&gt;=0.07,"Medium","Low"))</f>
        <v>Medium</v>
      </c>
    </row>
    <row r="49" customFormat="false" ht="15" hidden="false" customHeight="true" outlineLevel="0" collapsed="false">
      <c r="A49" s="1" t="s">
        <v>215</v>
      </c>
      <c r="B49" s="1" t="s">
        <v>216</v>
      </c>
      <c r="C49" s="8" t="n">
        <v>51313</v>
      </c>
      <c r="D49" s="25" t="n">
        <v>732</v>
      </c>
      <c r="E49" s="22" t="n">
        <f aca="false">IF(D49&gt;=800,0.01,IF(D49&gt;=750,0.02,IF(D49&gt;=700,0.04,IF(D49&gt;=650,0.08,IF(D49&gt;=600,0.15,IF(D49&gt;=550,0.25,IF(D49&gt;=500,0.35,0.5)))))))</f>
        <v>0.04</v>
      </c>
      <c r="F49" s="26" t="n">
        <f aca="false">$B$5</f>
        <v>0.45</v>
      </c>
      <c r="G49" s="27" t="n">
        <f aca="false">C49</f>
        <v>51313</v>
      </c>
      <c r="H49" s="15" t="n">
        <f aca="false">G49*E49*F49</f>
        <v>923.634</v>
      </c>
      <c r="I49" s="1" t="str">
        <f aca="false">IF(E49&gt;=0.2,"High",IF(E49&gt;=0.07,"Medium","Low"))</f>
        <v>Low</v>
      </c>
    </row>
    <row r="50" customFormat="false" ht="15" hidden="false" customHeight="true" outlineLevel="0" collapsed="false">
      <c r="A50" s="1" t="s">
        <v>217</v>
      </c>
      <c r="B50" s="1" t="s">
        <v>218</v>
      </c>
      <c r="C50" s="8" t="n">
        <v>163709</v>
      </c>
      <c r="D50" s="25" t="n">
        <v>771</v>
      </c>
      <c r="E50" s="22" t="n">
        <f aca="false">IF(D50&gt;=800,0.01,IF(D50&gt;=750,0.02,IF(D50&gt;=700,0.04,IF(D50&gt;=650,0.08,IF(D50&gt;=600,0.15,IF(D50&gt;=550,0.25,IF(D50&gt;=500,0.35,0.5)))))))</f>
        <v>0.02</v>
      </c>
      <c r="F50" s="26" t="n">
        <f aca="false">$B$5</f>
        <v>0.45</v>
      </c>
      <c r="G50" s="27" t="n">
        <f aca="false">C50</f>
        <v>163709</v>
      </c>
      <c r="H50" s="15" t="n">
        <f aca="false">G50*E50*F50</f>
        <v>1473.381</v>
      </c>
      <c r="I50" s="1" t="str">
        <f aca="false">IF(E50&gt;=0.2,"High",IF(E50&gt;=0.07,"Medium","Low"))</f>
        <v>Low</v>
      </c>
    </row>
    <row r="51" customFormat="false" ht="15" hidden="false" customHeight="true" outlineLevel="0" collapsed="false">
      <c r="A51" s="1" t="s">
        <v>219</v>
      </c>
      <c r="B51" s="1" t="s">
        <v>220</v>
      </c>
      <c r="C51" s="8" t="n">
        <v>334282</v>
      </c>
      <c r="D51" s="25" t="n">
        <v>635</v>
      </c>
      <c r="E51" s="22" t="n">
        <f aca="false">IF(D51&gt;=800,0.01,IF(D51&gt;=750,0.02,IF(D51&gt;=700,0.04,IF(D51&gt;=650,0.08,IF(D51&gt;=600,0.15,IF(D51&gt;=550,0.25,IF(D51&gt;=500,0.35,0.5)))))))</f>
        <v>0.15</v>
      </c>
      <c r="F51" s="26" t="n">
        <f aca="false">$B$5</f>
        <v>0.45</v>
      </c>
      <c r="G51" s="27" t="n">
        <f aca="false">C51</f>
        <v>334282</v>
      </c>
      <c r="H51" s="15" t="n">
        <f aca="false">G51*E51*F51</f>
        <v>22564.035</v>
      </c>
      <c r="I51" s="1" t="str">
        <f aca="false">IF(E51&gt;=0.2,"High",IF(E51&gt;=0.07,"Medium","Low"))</f>
        <v>Medium</v>
      </c>
    </row>
    <row r="52" customFormat="false" ht="15" hidden="false" customHeight="true" outlineLevel="0" collapsed="false">
      <c r="A52" s="1" t="s">
        <v>221</v>
      </c>
      <c r="B52" s="1" t="s">
        <v>222</v>
      </c>
      <c r="C52" s="8" t="n">
        <v>312698</v>
      </c>
      <c r="D52" s="25" t="n">
        <v>548</v>
      </c>
      <c r="E52" s="22" t="n">
        <f aca="false">IF(D52&gt;=800,0.01,IF(D52&gt;=750,0.02,IF(D52&gt;=700,0.04,IF(D52&gt;=650,0.08,IF(D52&gt;=600,0.15,IF(D52&gt;=550,0.25,IF(D52&gt;=500,0.35,0.5)))))))</f>
        <v>0.35</v>
      </c>
      <c r="F52" s="26" t="n">
        <f aca="false">$B$5</f>
        <v>0.45</v>
      </c>
      <c r="G52" s="27" t="n">
        <f aca="false">C52</f>
        <v>312698</v>
      </c>
      <c r="H52" s="15" t="n">
        <f aca="false">G52*E52*F52</f>
        <v>49249.935</v>
      </c>
      <c r="I52" s="1" t="str">
        <f aca="false">IF(E52&gt;=0.2,"High",IF(E52&gt;=0.07,"Medium","Low"))</f>
        <v>High</v>
      </c>
    </row>
    <row r="53" customFormat="false" ht="15" hidden="false" customHeight="true" outlineLevel="0" collapsed="false">
      <c r="A53" s="1" t="s">
        <v>223</v>
      </c>
      <c r="B53" s="1" t="s">
        <v>224</v>
      </c>
      <c r="C53" s="8" t="n">
        <v>379398</v>
      </c>
      <c r="D53" s="25" t="n">
        <v>485</v>
      </c>
      <c r="E53" s="22" t="n">
        <f aca="false">IF(D53&gt;=800,0.01,IF(D53&gt;=750,0.02,IF(D53&gt;=700,0.04,IF(D53&gt;=650,0.08,IF(D53&gt;=600,0.15,IF(D53&gt;=550,0.25,IF(D53&gt;=500,0.35,0.5)))))))</f>
        <v>0.5</v>
      </c>
      <c r="F53" s="26" t="n">
        <f aca="false">$B$5</f>
        <v>0.45</v>
      </c>
      <c r="G53" s="27" t="n">
        <f aca="false">C53</f>
        <v>379398</v>
      </c>
      <c r="H53" s="15" t="n">
        <f aca="false">G53*E53*F53</f>
        <v>85364.55</v>
      </c>
      <c r="I53" s="1" t="str">
        <f aca="false">IF(E53&gt;=0.2,"High",IF(E53&gt;=0.07,"Medium","Low"))</f>
        <v>High</v>
      </c>
    </row>
    <row r="54" customFormat="false" ht="15" hidden="false" customHeight="true" outlineLevel="0" collapsed="false">
      <c r="A54" s="1" t="s">
        <v>225</v>
      </c>
      <c r="B54" s="1" t="s">
        <v>226</v>
      </c>
      <c r="C54" s="8" t="n">
        <v>34025</v>
      </c>
      <c r="D54" s="25" t="n">
        <v>788</v>
      </c>
      <c r="E54" s="22" t="n">
        <f aca="false">IF(D54&gt;=800,0.01,IF(D54&gt;=750,0.02,IF(D54&gt;=700,0.04,IF(D54&gt;=650,0.08,IF(D54&gt;=600,0.15,IF(D54&gt;=550,0.25,IF(D54&gt;=500,0.35,0.5)))))))</f>
        <v>0.02</v>
      </c>
      <c r="F54" s="26" t="n">
        <f aca="false">$B$5</f>
        <v>0.45</v>
      </c>
      <c r="G54" s="27" t="n">
        <f aca="false">C54</f>
        <v>34025</v>
      </c>
      <c r="H54" s="15" t="n">
        <f aca="false">G54*E54*F54</f>
        <v>306.225</v>
      </c>
      <c r="I54" s="1" t="str">
        <f aca="false">IF(E54&gt;=0.2,"High",IF(E54&gt;=0.07,"Medium","Low"))</f>
        <v>Low</v>
      </c>
    </row>
    <row r="55" customFormat="false" ht="15" hidden="false" customHeight="true" outlineLevel="0" collapsed="false">
      <c r="A55" s="1" t="s">
        <v>227</v>
      </c>
      <c r="B55" s="1" t="s">
        <v>228</v>
      </c>
      <c r="C55" s="8" t="n">
        <v>129484</v>
      </c>
      <c r="D55" s="25" t="n">
        <v>845</v>
      </c>
      <c r="E55" s="22" t="n">
        <f aca="false">IF(D55&gt;=800,0.01,IF(D55&gt;=750,0.02,IF(D55&gt;=700,0.04,IF(D55&gt;=650,0.08,IF(D55&gt;=600,0.15,IF(D55&gt;=550,0.25,IF(D55&gt;=500,0.35,0.5)))))))</f>
        <v>0.01</v>
      </c>
      <c r="F55" s="26" t="n">
        <f aca="false">$B$5</f>
        <v>0.45</v>
      </c>
      <c r="G55" s="27" t="n">
        <f aca="false">C55</f>
        <v>129484</v>
      </c>
      <c r="H55" s="15" t="n">
        <f aca="false">G55*E55*F55</f>
        <v>582.678</v>
      </c>
      <c r="I55" s="1" t="str">
        <f aca="false">IF(E55&gt;=0.2,"High",IF(E55&gt;=0.07,"Medium","Low"))</f>
        <v>Low</v>
      </c>
    </row>
    <row r="56" customFormat="false" ht="15" hidden="false" customHeight="true" outlineLevel="0" collapsed="false">
      <c r="A56" s="1" t="s">
        <v>229</v>
      </c>
      <c r="B56" s="1" t="s">
        <v>230</v>
      </c>
      <c r="C56" s="8" t="n">
        <v>161722</v>
      </c>
      <c r="D56" s="25" t="n">
        <v>490</v>
      </c>
      <c r="E56" s="22" t="n">
        <f aca="false">IF(D56&gt;=800,0.01,IF(D56&gt;=750,0.02,IF(D56&gt;=700,0.04,IF(D56&gt;=650,0.08,IF(D56&gt;=600,0.15,IF(D56&gt;=550,0.25,IF(D56&gt;=500,0.35,0.5)))))))</f>
        <v>0.5</v>
      </c>
      <c r="F56" s="26" t="n">
        <f aca="false">$B$5</f>
        <v>0.45</v>
      </c>
      <c r="G56" s="27" t="n">
        <f aca="false">C56</f>
        <v>161722</v>
      </c>
      <c r="H56" s="15" t="n">
        <f aca="false">G56*E56*F56</f>
        <v>36387.45</v>
      </c>
      <c r="I56" s="1" t="str">
        <f aca="false">IF(E56&gt;=0.2,"High",IF(E56&gt;=0.07,"Medium","Low"))</f>
        <v>High</v>
      </c>
    </row>
    <row r="57" customFormat="false" ht="15" hidden="false" customHeight="true" outlineLevel="0" collapsed="false">
      <c r="A57" s="1" t="s">
        <v>231</v>
      </c>
      <c r="B57" s="1" t="s">
        <v>232</v>
      </c>
      <c r="C57" s="8" t="n">
        <v>458432</v>
      </c>
      <c r="D57" s="25" t="n">
        <v>569</v>
      </c>
      <c r="E57" s="22" t="n">
        <f aca="false">IF(D57&gt;=800,0.01,IF(D57&gt;=750,0.02,IF(D57&gt;=700,0.04,IF(D57&gt;=650,0.08,IF(D57&gt;=600,0.15,IF(D57&gt;=550,0.25,IF(D57&gt;=500,0.35,0.5)))))))</f>
        <v>0.25</v>
      </c>
      <c r="F57" s="26" t="n">
        <f aca="false">$B$5</f>
        <v>0.45</v>
      </c>
      <c r="G57" s="27" t="n">
        <f aca="false">C57</f>
        <v>458432</v>
      </c>
      <c r="H57" s="15" t="n">
        <f aca="false">G57*E57*F57</f>
        <v>51573.6</v>
      </c>
      <c r="I57" s="1" t="str">
        <f aca="false">IF(E57&gt;=0.2,"High",IF(E57&gt;=0.07,"Medium","Low"))</f>
        <v>High</v>
      </c>
    </row>
    <row r="58" customFormat="false" ht="15" hidden="false" customHeight="true" outlineLevel="0" collapsed="false">
      <c r="A58" s="1" t="s">
        <v>233</v>
      </c>
      <c r="B58" s="1" t="s">
        <v>234</v>
      </c>
      <c r="C58" s="8" t="n">
        <v>464286</v>
      </c>
      <c r="D58" s="25" t="n">
        <v>501</v>
      </c>
      <c r="E58" s="22" t="n">
        <f aca="false">IF(D58&gt;=800,0.01,IF(D58&gt;=750,0.02,IF(D58&gt;=700,0.04,IF(D58&gt;=650,0.08,IF(D58&gt;=600,0.15,IF(D58&gt;=550,0.25,IF(D58&gt;=500,0.35,0.5)))))))</f>
        <v>0.35</v>
      </c>
      <c r="F58" s="26" t="n">
        <f aca="false">$B$5</f>
        <v>0.45</v>
      </c>
      <c r="G58" s="27" t="n">
        <f aca="false">C58</f>
        <v>464286</v>
      </c>
      <c r="H58" s="15" t="n">
        <f aca="false">G58*E58*F58</f>
        <v>73125.045</v>
      </c>
      <c r="I58" s="1" t="str">
        <f aca="false">IF(E58&gt;=0.2,"High",IF(E58&gt;=0.07,"Medium","Low"))</f>
        <v>High</v>
      </c>
    </row>
    <row r="59" customFormat="false" ht="15" hidden="false" customHeight="true" outlineLevel="0" collapsed="false">
      <c r="A59" s="1" t="s">
        <v>235</v>
      </c>
      <c r="B59" s="1" t="s">
        <v>236</v>
      </c>
      <c r="C59" s="8" t="n">
        <v>209295</v>
      </c>
      <c r="D59" s="25" t="n">
        <v>592</v>
      </c>
      <c r="E59" s="22" t="n">
        <f aca="false">IF(D59&gt;=800,0.01,IF(D59&gt;=750,0.02,IF(D59&gt;=700,0.04,IF(D59&gt;=650,0.08,IF(D59&gt;=600,0.15,IF(D59&gt;=550,0.25,IF(D59&gt;=500,0.35,0.5)))))))</f>
        <v>0.25</v>
      </c>
      <c r="F59" s="26" t="n">
        <f aca="false">$B$5</f>
        <v>0.45</v>
      </c>
      <c r="G59" s="27" t="n">
        <f aca="false">C59</f>
        <v>209295</v>
      </c>
      <c r="H59" s="15" t="n">
        <f aca="false">G59*E59*F59</f>
        <v>23545.6875</v>
      </c>
      <c r="I59" s="1" t="str">
        <f aca="false">IF(E59&gt;=0.2,"High",IF(E59&gt;=0.07,"Medium","Low"))</f>
        <v>High</v>
      </c>
    </row>
    <row r="60" customFormat="false" ht="15" hidden="false" customHeight="true" outlineLevel="0" collapsed="false">
      <c r="A60" s="1" t="s">
        <v>237</v>
      </c>
      <c r="B60" s="1" t="s">
        <v>238</v>
      </c>
      <c r="C60" s="8" t="n">
        <v>247717</v>
      </c>
      <c r="D60" s="25" t="n">
        <v>775</v>
      </c>
      <c r="E60" s="22" t="n">
        <f aca="false">IF(D60&gt;=800,0.01,IF(D60&gt;=750,0.02,IF(D60&gt;=700,0.04,IF(D60&gt;=650,0.08,IF(D60&gt;=600,0.15,IF(D60&gt;=550,0.25,IF(D60&gt;=500,0.35,0.5)))))))</f>
        <v>0.02</v>
      </c>
      <c r="F60" s="26" t="n">
        <f aca="false">$B$5</f>
        <v>0.45</v>
      </c>
      <c r="G60" s="27" t="n">
        <f aca="false">C60</f>
        <v>247717</v>
      </c>
      <c r="H60" s="15" t="n">
        <f aca="false">G60*E60*F60</f>
        <v>2229.453</v>
      </c>
      <c r="I60" s="1" t="str">
        <f aca="false">IF(E60&gt;=0.2,"High",IF(E60&gt;=0.07,"Medium","Low"))</f>
        <v>Low</v>
      </c>
    </row>
    <row r="61" customFormat="false" ht="15" hidden="false" customHeight="true" outlineLevel="0" collapsed="false">
      <c r="A61" s="1" t="s">
        <v>239</v>
      </c>
      <c r="B61" s="1" t="s">
        <v>240</v>
      </c>
      <c r="C61" s="8" t="n">
        <v>447314</v>
      </c>
      <c r="D61" s="25" t="n">
        <v>636</v>
      </c>
      <c r="E61" s="22" t="n">
        <f aca="false">IF(D61&gt;=800,0.01,IF(D61&gt;=750,0.02,IF(D61&gt;=700,0.04,IF(D61&gt;=650,0.08,IF(D61&gt;=600,0.15,IF(D61&gt;=550,0.25,IF(D61&gt;=500,0.35,0.5)))))))</f>
        <v>0.15</v>
      </c>
      <c r="F61" s="26" t="n">
        <f aca="false">$B$5</f>
        <v>0.45</v>
      </c>
      <c r="G61" s="27" t="n">
        <f aca="false">C61</f>
        <v>447314</v>
      </c>
      <c r="H61" s="15" t="n">
        <f aca="false">G61*E61*F61</f>
        <v>30193.695</v>
      </c>
      <c r="I61" s="1" t="str">
        <f aca="false">IF(E61&gt;=0.2,"High",IF(E61&gt;=0.07,"Medium","Low"))</f>
        <v>Medium</v>
      </c>
    </row>
    <row r="62" customFormat="false" ht="15" hidden="false" customHeight="true" outlineLevel="0" collapsed="false">
      <c r="A62" s="1" t="s">
        <v>241</v>
      </c>
      <c r="B62" s="1" t="s">
        <v>242</v>
      </c>
      <c r="C62" s="8" t="n">
        <v>95277</v>
      </c>
      <c r="D62" s="25" t="n">
        <v>639</v>
      </c>
      <c r="E62" s="22" t="n">
        <f aca="false">IF(D62&gt;=800,0.01,IF(D62&gt;=750,0.02,IF(D62&gt;=700,0.04,IF(D62&gt;=650,0.08,IF(D62&gt;=600,0.15,IF(D62&gt;=550,0.25,IF(D62&gt;=500,0.35,0.5)))))))</f>
        <v>0.15</v>
      </c>
      <c r="F62" s="26" t="n">
        <f aca="false">$B$5</f>
        <v>0.45</v>
      </c>
      <c r="G62" s="27" t="n">
        <f aca="false">C62</f>
        <v>95277</v>
      </c>
      <c r="H62" s="15" t="n">
        <f aca="false">G62*E62*F62</f>
        <v>6431.1975</v>
      </c>
      <c r="I62" s="1" t="str">
        <f aca="false">IF(E62&gt;=0.2,"High",IF(E62&gt;=0.07,"Medium","Low"))</f>
        <v>Medium</v>
      </c>
    </row>
    <row r="63" customFormat="false" ht="15" hidden="false" customHeight="true" outlineLevel="0" collapsed="false">
      <c r="A63" s="1" t="s">
        <v>243</v>
      </c>
      <c r="B63" s="1" t="s">
        <v>244</v>
      </c>
      <c r="C63" s="8" t="n">
        <v>196264</v>
      </c>
      <c r="D63" s="25" t="n">
        <v>557</v>
      </c>
      <c r="E63" s="22" t="n">
        <f aca="false">IF(D63&gt;=800,0.01,IF(D63&gt;=750,0.02,IF(D63&gt;=700,0.04,IF(D63&gt;=650,0.08,IF(D63&gt;=600,0.15,IF(D63&gt;=550,0.25,IF(D63&gt;=500,0.35,0.5)))))))</f>
        <v>0.25</v>
      </c>
      <c r="F63" s="26" t="n">
        <f aca="false">$B$5</f>
        <v>0.45</v>
      </c>
      <c r="G63" s="27" t="n">
        <f aca="false">C63</f>
        <v>196264</v>
      </c>
      <c r="H63" s="15" t="n">
        <f aca="false">G63*E63*F63</f>
        <v>22079.7</v>
      </c>
      <c r="I63" s="1" t="str">
        <f aca="false">IF(E63&gt;=0.2,"High",IF(E63&gt;=0.07,"Medium","Low"))</f>
        <v>High</v>
      </c>
    </row>
    <row r="64" customFormat="false" ht="15" hidden="false" customHeight="true" outlineLevel="0" collapsed="false">
      <c r="A64" s="1" t="s">
        <v>245</v>
      </c>
      <c r="B64" s="1" t="s">
        <v>246</v>
      </c>
      <c r="C64" s="8" t="n">
        <v>361364</v>
      </c>
      <c r="D64" s="25" t="n">
        <v>586</v>
      </c>
      <c r="E64" s="22" t="n">
        <f aca="false">IF(D64&gt;=800,0.01,IF(D64&gt;=750,0.02,IF(D64&gt;=700,0.04,IF(D64&gt;=650,0.08,IF(D64&gt;=600,0.15,IF(D64&gt;=550,0.25,IF(D64&gt;=500,0.35,0.5)))))))</f>
        <v>0.25</v>
      </c>
      <c r="F64" s="26" t="n">
        <f aca="false">$B$5</f>
        <v>0.45</v>
      </c>
      <c r="G64" s="27" t="n">
        <f aca="false">C64</f>
        <v>361364</v>
      </c>
      <c r="H64" s="15" t="n">
        <f aca="false">G64*E64*F64</f>
        <v>40653.45</v>
      </c>
      <c r="I64" s="1" t="str">
        <f aca="false">IF(E64&gt;=0.2,"High",IF(E64&gt;=0.07,"Medium","Low"))</f>
        <v>High</v>
      </c>
    </row>
    <row r="65" customFormat="false" ht="15" hidden="false" customHeight="true" outlineLevel="0" collapsed="false">
      <c r="A65" s="1" t="s">
        <v>247</v>
      </c>
      <c r="B65" s="1" t="s">
        <v>248</v>
      </c>
      <c r="C65" s="8" t="n">
        <v>377955</v>
      </c>
      <c r="D65" s="25" t="n">
        <v>799</v>
      </c>
      <c r="E65" s="22" t="n">
        <f aca="false">IF(D65&gt;=800,0.01,IF(D65&gt;=750,0.02,IF(D65&gt;=700,0.04,IF(D65&gt;=650,0.08,IF(D65&gt;=600,0.15,IF(D65&gt;=550,0.25,IF(D65&gt;=500,0.35,0.5)))))))</f>
        <v>0.02</v>
      </c>
      <c r="F65" s="26" t="n">
        <f aca="false">$B$5</f>
        <v>0.45</v>
      </c>
      <c r="G65" s="27" t="n">
        <f aca="false">C65</f>
        <v>377955</v>
      </c>
      <c r="H65" s="15" t="n">
        <f aca="false">G65*E65*F65</f>
        <v>3401.595</v>
      </c>
      <c r="I65" s="1" t="str">
        <f aca="false">IF(E65&gt;=0.2,"High",IF(E65&gt;=0.07,"Medium","Low"))</f>
        <v>Low</v>
      </c>
    </row>
    <row r="66" customFormat="false" ht="15" hidden="false" customHeight="true" outlineLevel="0" collapsed="false">
      <c r="A66" s="1" t="s">
        <v>249</v>
      </c>
      <c r="B66" s="1" t="s">
        <v>250</v>
      </c>
      <c r="C66" s="8" t="n">
        <v>349757</v>
      </c>
      <c r="D66" s="25" t="n">
        <v>486</v>
      </c>
      <c r="E66" s="22" t="n">
        <f aca="false">IF(D66&gt;=800,0.01,IF(D66&gt;=750,0.02,IF(D66&gt;=700,0.04,IF(D66&gt;=650,0.08,IF(D66&gt;=600,0.15,IF(D66&gt;=550,0.25,IF(D66&gt;=500,0.35,0.5)))))))</f>
        <v>0.5</v>
      </c>
      <c r="F66" s="26" t="n">
        <f aca="false">$B$5</f>
        <v>0.45</v>
      </c>
      <c r="G66" s="27" t="n">
        <f aca="false">C66</f>
        <v>349757</v>
      </c>
      <c r="H66" s="15" t="n">
        <f aca="false">G66*E66*F66</f>
        <v>78695.325</v>
      </c>
      <c r="I66" s="1" t="str">
        <f aca="false">IF(E66&gt;=0.2,"High",IF(E66&gt;=0.07,"Medium","Low"))</f>
        <v>High</v>
      </c>
    </row>
    <row r="69" customFormat="false" ht="15" hidden="false" customHeight="true" outlineLevel="0" collapsed="false">
      <c r="A69" s="23" t="s">
        <v>251</v>
      </c>
      <c r="B69" s="23"/>
    </row>
    <row r="70" customFormat="false" ht="15" hidden="false" customHeight="true" outlineLevel="0" collapsed="false">
      <c r="A70" s="1" t="s">
        <v>252</v>
      </c>
      <c r="B70" s="28" t="n">
        <f aca="false">COUNTA(A17:A66)</f>
        <v>50</v>
      </c>
    </row>
    <row r="71" customFormat="false" ht="15" hidden="false" customHeight="true" outlineLevel="0" collapsed="false">
      <c r="A71" s="1" t="s">
        <v>253</v>
      </c>
      <c r="B71" s="15" t="n">
        <f aca="false">SUM(C17:C66)</f>
        <v>12920015</v>
      </c>
    </row>
    <row r="72" customFormat="false" ht="15" hidden="false" customHeight="true" outlineLevel="0" collapsed="false">
      <c r="A72" s="1" t="s">
        <v>254</v>
      </c>
      <c r="B72" s="15" t="n">
        <f aca="false">SUM(H17:H66)</f>
        <v>1358538.0525</v>
      </c>
    </row>
    <row r="73" customFormat="false" ht="15" hidden="false" customHeight="true" outlineLevel="0" collapsed="false">
      <c r="A73" s="1" t="s">
        <v>255</v>
      </c>
      <c r="B73" s="29" t="n">
        <f aca="false">B72/B71</f>
        <v>0.105149881985431</v>
      </c>
    </row>
    <row r="74" customFormat="false" ht="15" hidden="false" customHeight="true" outlineLevel="0" collapsed="false">
      <c r="A74" s="1" t="s">
        <v>256</v>
      </c>
      <c r="B74" s="1" t="n">
        <f aca="false">COUNTIF(I17:I66,"High")</f>
        <v>26</v>
      </c>
    </row>
    <row r="75" customFormat="false" ht="15" hidden="false" customHeight="true" outlineLevel="0" collapsed="false">
      <c r="A75" s="1" t="s">
        <v>257</v>
      </c>
      <c r="B75" s="1" t="n">
        <f aca="false">COUNTIF(I17:I66,"Medium")</f>
        <v>10</v>
      </c>
    </row>
    <row r="76" customFormat="false" ht="15" hidden="false" customHeight="true" outlineLevel="0" collapsed="false">
      <c r="A76" s="1" t="s">
        <v>258</v>
      </c>
      <c r="B76" s="1" t="n">
        <f aca="false">COUNTIF(I17:I66,"Low")</f>
        <v>14</v>
      </c>
    </row>
    <row r="77" customFormat="false" ht="15" hidden="false" customHeight="true" outlineLevel="0" collapsed="false">
      <c r="A77" s="1" t="s">
        <v>259</v>
      </c>
      <c r="B77" s="30" t="n">
        <f aca="false">AVERAGE(D17:D66)</f>
        <v>624.18</v>
      </c>
    </row>
  </sheetData>
  <mergeCells count="2">
    <mergeCell ref="D4:F4"/>
    <mergeCell ref="A69:B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6" min="5" style="1" width="18"/>
  </cols>
  <sheetData>
    <row r="1" customFormat="false" ht="17.25" hidden="false" customHeight="true" outlineLevel="0" collapsed="false">
      <c r="A1" s="5" t="s">
        <v>260</v>
      </c>
    </row>
    <row r="2" customFormat="false" ht="15" hidden="false" customHeight="true" outlineLevel="0" collapsed="false">
      <c r="A2" s="6" t="s">
        <v>261</v>
      </c>
    </row>
    <row r="4" customFormat="false" ht="15" hidden="false" customHeight="true" outlineLevel="0" collapsed="false">
      <c r="A4" s="7" t="s">
        <v>262</v>
      </c>
    </row>
    <row r="5" customFormat="false" ht="15" hidden="false" customHeight="true" outlineLevel="0" collapsed="false">
      <c r="A5" s="1" t="s">
        <v>263</v>
      </c>
      <c r="B5" s="31" t="n">
        <v>1000000</v>
      </c>
    </row>
    <row r="6" customFormat="false" ht="15" hidden="false" customHeight="true" outlineLevel="0" collapsed="false">
      <c r="A6" s="1" t="s">
        <v>130</v>
      </c>
      <c r="B6" s="11" t="n">
        <v>0.03</v>
      </c>
    </row>
    <row r="7" customFormat="false" ht="15" hidden="false" customHeight="true" outlineLevel="0" collapsed="false">
      <c r="A7" s="1" t="s">
        <v>264</v>
      </c>
      <c r="B7" s="25" t="n">
        <v>10</v>
      </c>
    </row>
    <row r="10" customFormat="false" ht="15" hidden="false" customHeight="true" outlineLevel="0" collapsed="false">
      <c r="A10" s="13" t="s">
        <v>265</v>
      </c>
      <c r="B10" s="13" t="s">
        <v>266</v>
      </c>
      <c r="C10" s="13" t="s">
        <v>267</v>
      </c>
      <c r="D10" s="13" t="s">
        <v>268</v>
      </c>
      <c r="E10" s="13" t="s">
        <v>269</v>
      </c>
      <c r="F10" s="13" t="s">
        <v>270</v>
      </c>
    </row>
    <row r="11" customFormat="false" ht="15" hidden="false" customHeight="true" outlineLevel="0" collapsed="false">
      <c r="A11" s="1" t="s">
        <v>271</v>
      </c>
      <c r="B11" s="11" t="n">
        <v>0.1</v>
      </c>
      <c r="C11" s="11" t="n">
        <v>0.15</v>
      </c>
      <c r="D11" s="10" t="n">
        <v>0.35</v>
      </c>
      <c r="E11" s="27" t="n">
        <f aca="false">D11*$B$5</f>
        <v>350000</v>
      </c>
      <c r="F11" s="27" t="n">
        <f aca="false">E11*B11</f>
        <v>35000</v>
      </c>
    </row>
    <row r="12" customFormat="false" ht="15" hidden="false" customHeight="true" outlineLevel="0" collapsed="false">
      <c r="A12" s="1" t="s">
        <v>272</v>
      </c>
      <c r="B12" s="11" t="n">
        <v>0.12</v>
      </c>
      <c r="C12" s="11" t="n">
        <v>0.2</v>
      </c>
      <c r="D12" s="10" t="n">
        <v>0.15</v>
      </c>
      <c r="E12" s="27" t="n">
        <f aca="false">D12*$B$5</f>
        <v>150000</v>
      </c>
      <c r="F12" s="27" t="n">
        <f aca="false">E12*B12</f>
        <v>18000</v>
      </c>
    </row>
    <row r="13" customFormat="false" ht="15" hidden="false" customHeight="true" outlineLevel="0" collapsed="false">
      <c r="A13" s="1" t="s">
        <v>273</v>
      </c>
      <c r="B13" s="11" t="n">
        <v>0.09</v>
      </c>
      <c r="C13" s="11" t="n">
        <v>0.17</v>
      </c>
      <c r="D13" s="10" t="n">
        <v>0.15</v>
      </c>
      <c r="E13" s="27" t="n">
        <f aca="false">D13*$B$5</f>
        <v>150000</v>
      </c>
      <c r="F13" s="27" t="n">
        <f aca="false">E13*B13</f>
        <v>13500</v>
      </c>
    </row>
    <row r="14" customFormat="false" ht="15" hidden="false" customHeight="true" outlineLevel="0" collapsed="false">
      <c r="A14" s="1" t="s">
        <v>274</v>
      </c>
      <c r="B14" s="11" t="n">
        <v>0.05</v>
      </c>
      <c r="C14" s="11" t="n">
        <v>0.06</v>
      </c>
      <c r="D14" s="10" t="n">
        <v>0.25</v>
      </c>
      <c r="E14" s="27" t="n">
        <f aca="false">D14*$B$5</f>
        <v>250000</v>
      </c>
      <c r="F14" s="27" t="n">
        <f aca="false">E14*B14</f>
        <v>12500</v>
      </c>
    </row>
    <row r="15" customFormat="false" ht="15" hidden="false" customHeight="true" outlineLevel="0" collapsed="false">
      <c r="A15" s="1" t="s">
        <v>275</v>
      </c>
      <c r="B15" s="11" t="n">
        <v>0.08</v>
      </c>
      <c r="C15" s="11" t="n">
        <v>0.14</v>
      </c>
      <c r="D15" s="10" t="n">
        <v>0.07</v>
      </c>
      <c r="E15" s="27" t="n">
        <f aca="false">D15*$B$5</f>
        <v>70000</v>
      </c>
      <c r="F15" s="27" t="n">
        <f aca="false">E15*B15</f>
        <v>5600</v>
      </c>
    </row>
    <row r="16" customFormat="false" ht="15" hidden="false" customHeight="true" outlineLevel="0" collapsed="false">
      <c r="A16" s="1" t="s">
        <v>276</v>
      </c>
      <c r="B16" s="11" t="n">
        <v>0.06</v>
      </c>
      <c r="C16" s="11" t="n">
        <v>0.18</v>
      </c>
      <c r="D16" s="10" t="n">
        <v>0.03</v>
      </c>
      <c r="E16" s="27" t="n">
        <f aca="false">D16*$B$5</f>
        <v>30000</v>
      </c>
      <c r="F16" s="27" t="n">
        <f aca="false">E16*B16</f>
        <v>1800</v>
      </c>
    </row>
    <row r="17" customFormat="false" ht="15" hidden="false" customHeight="true" outlineLevel="0" collapsed="false">
      <c r="A17" s="14" t="s">
        <v>277</v>
      </c>
      <c r="D17" s="32" t="n">
        <f aca="false">SUM(D11:D16)</f>
        <v>1</v>
      </c>
      <c r="E17" s="33" t="n">
        <f aca="false">SUM(E11:E16)</f>
        <v>1000000</v>
      </c>
      <c r="F17" s="33" t="n">
        <f aca="false">SUM(F11:F16)</f>
        <v>86400</v>
      </c>
    </row>
    <row r="19" customFormat="false" ht="15" hidden="false" customHeight="true" outlineLevel="0" collapsed="false">
      <c r="A19" s="23" t="s">
        <v>278</v>
      </c>
      <c r="B19" s="23"/>
    </row>
    <row r="20" customFormat="false" ht="15" hidden="false" customHeight="true" outlineLevel="0" collapsed="false">
      <c r="A20" s="1" t="s">
        <v>279</v>
      </c>
      <c r="B20" s="29" t="n">
        <f aca="false">SUMPRODUCT(B11:B16,D11:D16)</f>
        <v>0.0864</v>
      </c>
    </row>
    <row r="21" customFormat="false" ht="15" hidden="false" customHeight="true" outlineLevel="0" collapsed="false">
      <c r="A21" s="1" t="s">
        <v>280</v>
      </c>
      <c r="B21" s="29" t="n">
        <f aca="false">SQRT(SUMPRODUCT(D11:D16,D11:D16,C11:C16,C11:C16))</f>
        <v>0.0682400175849919</v>
      </c>
    </row>
    <row r="22" customFormat="false" ht="15" hidden="false" customHeight="true" outlineLevel="0" collapsed="false">
      <c r="A22" s="1" t="s">
        <v>281</v>
      </c>
      <c r="B22" s="34" t="n">
        <f aca="false">(B20-$B$6)/B21</f>
        <v>0.826494511519647</v>
      </c>
    </row>
    <row r="23" customFormat="false" ht="15" hidden="false" customHeight="true" outlineLevel="0" collapsed="false">
      <c r="A23" s="1" t="s">
        <v>282</v>
      </c>
      <c r="B23" s="27" t="n">
        <f aca="false">$B$5*(1+B20)^$B$7</f>
        <v>2290327.40330641</v>
      </c>
    </row>
    <row r="24" customFormat="false" ht="15" hidden="false" customHeight="true" outlineLevel="0" collapsed="false">
      <c r="A24" s="1" t="s">
        <v>283</v>
      </c>
      <c r="B24" s="27" t="n">
        <f aca="false">B23-$B$5</f>
        <v>1290327.40330641</v>
      </c>
    </row>
    <row r="26" customFormat="false" ht="15" hidden="false" customHeight="true" outlineLevel="0" collapsed="false">
      <c r="A26" s="23" t="s">
        <v>284</v>
      </c>
      <c r="B26" s="23"/>
      <c r="C26" s="23"/>
      <c r="D26" s="23"/>
      <c r="E26" s="23"/>
      <c r="F26" s="23"/>
    </row>
    <row r="27" customFormat="false" ht="15" hidden="false" customHeight="true" outlineLevel="0" collapsed="false">
      <c r="A27" s="35" t="s">
        <v>285</v>
      </c>
      <c r="B27" s="35" t="s">
        <v>286</v>
      </c>
      <c r="C27" s="35" t="s">
        <v>287</v>
      </c>
      <c r="D27" s="35" t="s">
        <v>288</v>
      </c>
      <c r="E27" s="35" t="s">
        <v>274</v>
      </c>
      <c r="F27" s="35" t="s">
        <v>289</v>
      </c>
      <c r="G27" s="35" t="s">
        <v>290</v>
      </c>
      <c r="H27" s="35" t="s">
        <v>291</v>
      </c>
      <c r="I27" s="35" t="s">
        <v>292</v>
      </c>
      <c r="J27" s="35" t="s">
        <v>293</v>
      </c>
    </row>
    <row r="28" customFormat="false" ht="15" hidden="false" customHeight="true" outlineLevel="0" collapsed="false">
      <c r="A28" s="1" t="s">
        <v>294</v>
      </c>
      <c r="B28" s="22" t="n">
        <v>0.2</v>
      </c>
      <c r="C28" s="22" t="n">
        <v>0.05</v>
      </c>
      <c r="D28" s="22" t="n">
        <v>0.1</v>
      </c>
      <c r="E28" s="22" t="n">
        <v>0.5</v>
      </c>
      <c r="F28" s="22" t="n">
        <v>0.1</v>
      </c>
      <c r="G28" s="22" t="n">
        <v>0.05</v>
      </c>
      <c r="H28" s="29" t="n">
        <f aca="false">B28*B11+C28*B12+D28*B13+E28*B14+F28*B15+G28*B16</f>
        <v>0.071</v>
      </c>
      <c r="I28" s="29" t="n">
        <f aca="false">SQRT(B28*B28*C11*C11+C28*C28*C12*C12+D28*D28*C13*C13+E28*E28*C14*C14+F28*F28*C15*C15+G28*G28*C16*C16)</f>
        <v>0.0496588360717405</v>
      </c>
      <c r="J28" s="34" t="n">
        <f aca="false">(H28-B6)/I28</f>
        <v>0.825633527551242</v>
      </c>
    </row>
    <row r="29" customFormat="false" ht="15" hidden="false" customHeight="true" outlineLevel="0" collapsed="false">
      <c r="A29" s="1" t="s">
        <v>295</v>
      </c>
      <c r="B29" s="22" t="n">
        <v>0.3</v>
      </c>
      <c r="C29" s="22" t="n">
        <v>0.15</v>
      </c>
      <c r="D29" s="22" t="n">
        <v>0.15</v>
      </c>
      <c r="E29" s="22" t="n">
        <v>0.3</v>
      </c>
      <c r="F29" s="22" t="n">
        <v>0.07</v>
      </c>
      <c r="G29" s="22" t="n">
        <v>0.03</v>
      </c>
      <c r="H29" s="29" t="n">
        <f aca="false">B29*B11+C29*B12+D29*B13+E29*B14+F29*B15+G29*B16</f>
        <v>0.0839</v>
      </c>
      <c r="I29" s="29" t="n">
        <f aca="false">SQRT(B29*B29*C11*C11+C29*C29*C12*C12+D29*D29*C13*C13+E29*E29*C14*C14+F29*F29*C15*C15+G29*G29*C16*C16)</f>
        <v>0.0634385529469265</v>
      </c>
      <c r="J29" s="34" t="n">
        <f aca="false">(H29-B6)/I29</f>
        <v>0.849641069919949</v>
      </c>
    </row>
    <row r="30" customFormat="false" ht="15" hidden="false" customHeight="true" outlineLevel="0" collapsed="false">
      <c r="A30" s="1" t="s">
        <v>296</v>
      </c>
      <c r="B30" s="22" t="n">
        <v>0.45</v>
      </c>
      <c r="C30" s="22" t="n">
        <v>0.25</v>
      </c>
      <c r="D30" s="22" t="n">
        <v>0.2</v>
      </c>
      <c r="E30" s="22" t="n">
        <v>0.05</v>
      </c>
      <c r="F30" s="22" t="n">
        <v>0.03</v>
      </c>
      <c r="G30" s="22" t="n">
        <v>0.02</v>
      </c>
      <c r="H30" s="29" t="n">
        <f aca="false">B30*B11+C30*B12+D30*B13+E30*B14+F30*B15+G30*B16</f>
        <v>0.0991</v>
      </c>
      <c r="I30" s="29" t="n">
        <f aca="false">SQRT(B30*B30*C11*C11+C30*C30*C12*C12+D30*D30*C13*C13+E30*E30*C14*C14+F30*F30*C15*C15+G30*G30*C16*C16)</f>
        <v>0.0908396939668997</v>
      </c>
      <c r="J30" s="34" t="n">
        <f aca="false">(H30-B6)/I30</f>
        <v>0.760680678043442</v>
      </c>
    </row>
  </sheetData>
  <mergeCells count="2">
    <mergeCell ref="A19:B19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2026-02-16T00:10:52Z</dcterms:created>
  <dc:creator>openpyxl</dc:creator>
  <dc:description/>
  <dc:language>en-US</dc:language>
  <cp:lastModifiedBy/>
  <dcterms:modified xsi:type="dcterms:W3CDTF">2026-09-29T15:56:59Z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